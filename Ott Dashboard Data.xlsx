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Asus\OneDrive\Desktop\Ott Contetnt Dashboard\"/>
    </mc:Choice>
  </mc:AlternateContent>
  <xr:revisionPtr revIDLastSave="0" documentId="8_{D2CAECC5-1487-4D8F-BB02-2E4128C894A0}" xr6:coauthVersionLast="47" xr6:coauthVersionMax="47" xr10:uidLastSave="{00000000-0000-0000-0000-000000000000}"/>
  <bookViews>
    <workbookView xWindow="-108" yWindow="-108" windowWidth="23256" windowHeight="12456" firstSheet="1" activeTab="2" xr2:uid="{084B362B-8F7F-4009-B446-F04687115647}"/>
  </bookViews>
  <sheets>
    <sheet name="Main Cleaned Data" sheetId="2" r:id="rId1"/>
    <sheet name="Pivot_Table" sheetId="3" r:id="rId2"/>
    <sheet name="Dasboard" sheetId="4" r:id="rId3"/>
  </sheets>
  <definedNames>
    <definedName name="ExternalData_1" localSheetId="0" hidden="1">'Main Cleaned Data'!$A$1:$P$1001</definedName>
    <definedName name="NativeTimeline_Content_Aded">#N/A</definedName>
    <definedName name="Slicer_Category_Of_Ownership">#N/A</definedName>
    <definedName name="Slicer_Country">#N/A</definedName>
    <definedName name="Slicer_Duration_Type">#N/A</definedName>
    <definedName name="Slicer_Genres">#N/A</definedName>
    <definedName name="Slicer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18" i="3" l="1"/>
  <c r="AN17" i="3"/>
  <c r="L23" i="3"/>
  <c r="B17" i="3"/>
  <c r="G15" i="3"/>
  <c r="D15" i="3"/>
  <c r="B1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42D6C58-EA76-46E9-8E11-E78D7479D63B}" keepAlive="1" name="Query - Ott Raw Data" description="Connection to the 'Ott Raw Data' query in the workbook." type="5" refreshedVersion="8" background="1" saveData="1">
    <dbPr connection="Provider=Microsoft.Mashup.OleDb.1;Data Source=$Workbook$;Location=&quot;Ott Raw Data&quot;;Extended Properties=&quot;&quot;" command="SELECT * FROM [Ott Raw Data]"/>
  </connection>
</connections>
</file>

<file path=xl/sharedStrings.xml><?xml version="1.0" encoding="utf-8"?>
<sst xmlns="http://schemas.openxmlformats.org/spreadsheetml/2006/main" count="10083" uniqueCount="2296">
  <si>
    <t>Show_Id</t>
  </si>
  <si>
    <t>Type</t>
  </si>
  <si>
    <t>Title</t>
  </si>
  <si>
    <t>Director</t>
  </si>
  <si>
    <t>Cast</t>
  </si>
  <si>
    <t>Country</t>
  </si>
  <si>
    <t>Release_Year</t>
  </si>
  <si>
    <t>Duration_Value</t>
  </si>
  <si>
    <t>Duration_Type</t>
  </si>
  <si>
    <t>Genres</t>
  </si>
  <si>
    <t>User_Rating</t>
  </si>
  <si>
    <t>Views_Millions</t>
  </si>
  <si>
    <t>Budget_Usd</t>
  </si>
  <si>
    <t>S1</t>
  </si>
  <si>
    <t>Tv Show</t>
  </si>
  <si>
    <t>Synthetic Title 1</t>
  </si>
  <si>
    <t>Christopher Nolan</t>
  </si>
  <si>
    <t>Tom Hanks</t>
  </si>
  <si>
    <t>South Korea</t>
  </si>
  <si>
    <t>R</t>
  </si>
  <si>
    <t>Seasons</t>
  </si>
  <si>
    <t>Comedies</t>
  </si>
  <si>
    <t>S2</t>
  </si>
  <si>
    <t>Synthetic Title 2</t>
  </si>
  <si>
    <t>Steven Spielberg</t>
  </si>
  <si>
    <t>Brad Pitt, Scarlett Johansson, Morgan Freeman</t>
  </si>
  <si>
    <t>United Kingdom</t>
  </si>
  <si>
    <t>TV-PG</t>
  </si>
  <si>
    <t>Mins</t>
  </si>
  <si>
    <t>S3</t>
  </si>
  <si>
    <t>Synthetic Title 3</t>
  </si>
  <si>
    <t>Martin Scorsese</t>
  </si>
  <si>
    <t>Tom Hanks, Scarlett Johansson</t>
  </si>
  <si>
    <t>Canada</t>
  </si>
  <si>
    <t>NR</t>
  </si>
  <si>
    <t>Crime Tv Shows</t>
  </si>
  <si>
    <t>S4</t>
  </si>
  <si>
    <t>Movie</t>
  </si>
  <si>
    <t>Synthetic Title 4</t>
  </si>
  <si>
    <t>Greta Gerwig</t>
  </si>
  <si>
    <t>Brad Pitt</t>
  </si>
  <si>
    <t>Action &amp; Adventure</t>
  </si>
  <si>
    <t>S5</t>
  </si>
  <si>
    <t>Synthetic Title 5</t>
  </si>
  <si>
    <t>Tom Hanks, Scarlett Johansson, Brad Pitt</t>
  </si>
  <si>
    <t>United States</t>
  </si>
  <si>
    <t>Horror Movies, Thrillers</t>
  </si>
  <si>
    <t>S6</t>
  </si>
  <si>
    <t>Synthetic Title 6</t>
  </si>
  <si>
    <t>Ava Duvernay</t>
  </si>
  <si>
    <t>Viola Davis</t>
  </si>
  <si>
    <t>India</t>
  </si>
  <si>
    <t>International Tv Shows, Tv Dramas</t>
  </si>
  <si>
    <t>S7</t>
  </si>
  <si>
    <t>Synthetic Title 7</t>
  </si>
  <si>
    <t>PG-13</t>
  </si>
  <si>
    <t>S8</t>
  </si>
  <si>
    <t>Synthetic Title 8</t>
  </si>
  <si>
    <t>Scarlett Johansson, Tom Hanks</t>
  </si>
  <si>
    <t>France</t>
  </si>
  <si>
    <t>S9</t>
  </si>
  <si>
    <t>Synthetic Title 9</t>
  </si>
  <si>
    <t>Bong Joon Ho</t>
  </si>
  <si>
    <t>Scarlett Johansson</t>
  </si>
  <si>
    <t>S10</t>
  </si>
  <si>
    <t>Synthetic Title 10</t>
  </si>
  <si>
    <t>Tom Hanks, Brad Pitt, Viola Davis</t>
  </si>
  <si>
    <t>S11</t>
  </si>
  <si>
    <t>Synthetic Title 11</t>
  </si>
  <si>
    <t>Documentaries</t>
  </si>
  <si>
    <t>S12</t>
  </si>
  <si>
    <t>Synthetic Title 12</t>
  </si>
  <si>
    <t>Unassigned</t>
  </si>
  <si>
    <t>S13</t>
  </si>
  <si>
    <t>Synthetic Title 13</t>
  </si>
  <si>
    <t>Leonardo Dicaprio</t>
  </si>
  <si>
    <t>Japan</t>
  </si>
  <si>
    <t>TV-14</t>
  </si>
  <si>
    <t>S14</t>
  </si>
  <si>
    <t>Synthetic Title 14</t>
  </si>
  <si>
    <t>Zendaya, Morgan Freeman</t>
  </si>
  <si>
    <t>S15</t>
  </si>
  <si>
    <t>Synthetic Title 15</t>
  </si>
  <si>
    <t>Morgan Freeman, Scarlett Johansson</t>
  </si>
  <si>
    <t>S16</t>
  </si>
  <si>
    <t>Synthetic Title 16</t>
  </si>
  <si>
    <t>S17</t>
  </si>
  <si>
    <t>Synthetic Title 17</t>
  </si>
  <si>
    <t>Zendaya, Morgan Freeman, Scarlett Johansson</t>
  </si>
  <si>
    <t>TV-MA</t>
  </si>
  <si>
    <t>S18</t>
  </si>
  <si>
    <t>Synthetic Title 18</t>
  </si>
  <si>
    <t>Tom Hanks, Brad Pitt</t>
  </si>
  <si>
    <t>S19</t>
  </si>
  <si>
    <t>Synthetic Title 19</t>
  </si>
  <si>
    <t>Zendaya, Tom Hanks, Viola Davis</t>
  </si>
  <si>
    <t>S20</t>
  </si>
  <si>
    <t>Synthetic Title 20</t>
  </si>
  <si>
    <t>Morgan Freeman, Scarlett Johansson, Leonardo Dicaprio</t>
  </si>
  <si>
    <t>S21</t>
  </si>
  <si>
    <t>Synthetic Title 21</t>
  </si>
  <si>
    <t>Viola Davis, Leonardo Dicaprio, Scarlett Johansson</t>
  </si>
  <si>
    <t>S22</t>
  </si>
  <si>
    <t>Synthetic Title 22</t>
  </si>
  <si>
    <t>S23</t>
  </si>
  <si>
    <t>Synthetic Title 23</t>
  </si>
  <si>
    <t>Tom Hanks, Scarlett Johansson, Zendaya</t>
  </si>
  <si>
    <t>S24</t>
  </si>
  <si>
    <t>Synthetic Title 24</t>
  </si>
  <si>
    <t>S25</t>
  </si>
  <si>
    <t>Synthetic Title 25</t>
  </si>
  <si>
    <t>Morgan Freeman</t>
  </si>
  <si>
    <t>S26</t>
  </si>
  <si>
    <t>Synthetic Title 26</t>
  </si>
  <si>
    <t>Leonardo Dicaprio, Brad Pitt</t>
  </si>
  <si>
    <t>S27</t>
  </si>
  <si>
    <t>Synthetic Title 27</t>
  </si>
  <si>
    <t>Tom Hanks, Viola Davis</t>
  </si>
  <si>
    <t>S28</t>
  </si>
  <si>
    <t>Synthetic Title 28</t>
  </si>
  <si>
    <t>Viola Davis, Brad Pitt</t>
  </si>
  <si>
    <t>S29</t>
  </si>
  <si>
    <t>Synthetic Title 29</t>
  </si>
  <si>
    <t>Zendaya</t>
  </si>
  <si>
    <t>S30</t>
  </si>
  <si>
    <t>Synthetic Title 30</t>
  </si>
  <si>
    <t>S31</t>
  </si>
  <si>
    <t>Synthetic Title 31</t>
  </si>
  <si>
    <t>S32</t>
  </si>
  <si>
    <t>Synthetic Title 32</t>
  </si>
  <si>
    <t>Brad Pitt, Zendaya, Scarlett Johansson</t>
  </si>
  <si>
    <t>S33</t>
  </si>
  <si>
    <t>Synthetic Title 33</t>
  </si>
  <si>
    <t>Brad Pitt, Zendaya</t>
  </si>
  <si>
    <t>S34</t>
  </si>
  <si>
    <t>Synthetic Title 34</t>
  </si>
  <si>
    <t>S35</t>
  </si>
  <si>
    <t>Synthetic Title 35</t>
  </si>
  <si>
    <t>Viola Davis, Zendaya</t>
  </si>
  <si>
    <t>S36</t>
  </si>
  <si>
    <t>Synthetic Title 36</t>
  </si>
  <si>
    <t>Leonardo Dicaprio, Viola Davis</t>
  </si>
  <si>
    <t>S37</t>
  </si>
  <si>
    <t>Synthetic Title 37</t>
  </si>
  <si>
    <t>Zendaya, Scarlett Johansson</t>
  </si>
  <si>
    <t>S38</t>
  </si>
  <si>
    <t>Synthetic Title 38</t>
  </si>
  <si>
    <t>Viola Davis, Scarlett Johansson, Zendaya</t>
  </si>
  <si>
    <t>S39</t>
  </si>
  <si>
    <t>Synthetic Title 39</t>
  </si>
  <si>
    <t>Scarlett Johansson, Leonardo Dicaprio, Brad Pitt</t>
  </si>
  <si>
    <t>S40</t>
  </si>
  <si>
    <t>Synthetic Title 40</t>
  </si>
  <si>
    <t>Brad Pitt, Viola Davis</t>
  </si>
  <si>
    <t>S41</t>
  </si>
  <si>
    <t>Synthetic Title 41</t>
  </si>
  <si>
    <t>S42</t>
  </si>
  <si>
    <t>Synthetic Title 42</t>
  </si>
  <si>
    <t>United States, Canada</t>
  </si>
  <si>
    <t>S43</t>
  </si>
  <si>
    <t>Synthetic Title 43</t>
  </si>
  <si>
    <t>S44</t>
  </si>
  <si>
    <t>Synthetic Title 44</t>
  </si>
  <si>
    <t>Leonardo Dicaprio, Brad Pitt, Viola Davis</t>
  </si>
  <si>
    <t>S45</t>
  </si>
  <si>
    <t>Synthetic Title 45</t>
  </si>
  <si>
    <t>Tom Hanks, Leonardo Dicaprio, Morgan Freeman</t>
  </si>
  <si>
    <t>S46</t>
  </si>
  <si>
    <t>Synthetic Title 46</t>
  </si>
  <si>
    <t>Morgan Freeman, Brad Pitt</t>
  </si>
  <si>
    <t>S47</t>
  </si>
  <si>
    <t>Synthetic Title 47</t>
  </si>
  <si>
    <t>Zendaya, Morgan Freeman, Leonardo Dicaprio</t>
  </si>
  <si>
    <t>S48</t>
  </si>
  <si>
    <t>Synthetic Title 48</t>
  </si>
  <si>
    <t>Scarlett Johansson, Viola Davis</t>
  </si>
  <si>
    <t>S49</t>
  </si>
  <si>
    <t>Synthetic Title 49</t>
  </si>
  <si>
    <t>S50</t>
  </si>
  <si>
    <t>Synthetic Title 50</t>
  </si>
  <si>
    <t>Brad Pitt, Viola Davis, Leonardo Dicaprio</t>
  </si>
  <si>
    <t>S51</t>
  </si>
  <si>
    <t>Synthetic Title 51</t>
  </si>
  <si>
    <t>S52</t>
  </si>
  <si>
    <t>Synthetic Title 52</t>
  </si>
  <si>
    <t>S53</t>
  </si>
  <si>
    <t>Synthetic Title 53</t>
  </si>
  <si>
    <t>Zendaya, Brad Pitt</t>
  </si>
  <si>
    <t>S54</t>
  </si>
  <si>
    <t>Synthetic Title 54</t>
  </si>
  <si>
    <t>S55</t>
  </si>
  <si>
    <t>Synthetic Title 55</t>
  </si>
  <si>
    <t>Morgan Freeman, Scarlett Johansson, Viola Davis</t>
  </si>
  <si>
    <t>S56</t>
  </si>
  <si>
    <t>Synthetic Title 56</t>
  </si>
  <si>
    <t>Morgan Freeman, Tom Hanks</t>
  </si>
  <si>
    <t>S57</t>
  </si>
  <si>
    <t>Synthetic Title 57</t>
  </si>
  <si>
    <t>Leonardo Dicaprio, Brad Pitt, Morgan Freeman</t>
  </si>
  <si>
    <t>S58</t>
  </si>
  <si>
    <t>Synthetic Title 58</t>
  </si>
  <si>
    <t>Scarlett Johansson, Zendaya</t>
  </si>
  <si>
    <t>S59</t>
  </si>
  <si>
    <t>Synthetic Title 59</t>
  </si>
  <si>
    <t>Leonardo Dicaprio, Zendaya</t>
  </si>
  <si>
    <t>S60</t>
  </si>
  <si>
    <t>Synthetic Title 60</t>
  </si>
  <si>
    <t>Zendaya, Morgan Freeman, Viola Davis</t>
  </si>
  <si>
    <t>S61</t>
  </si>
  <si>
    <t>Synthetic Title 61</t>
  </si>
  <si>
    <t>S62</t>
  </si>
  <si>
    <t>Synthetic Title 62</t>
  </si>
  <si>
    <t>S63</t>
  </si>
  <si>
    <t>Synthetic Title 63</t>
  </si>
  <si>
    <t>S64</t>
  </si>
  <si>
    <t>Synthetic Title 64</t>
  </si>
  <si>
    <t>Tom Hanks, Leonardo Dicaprio</t>
  </si>
  <si>
    <t>S65</t>
  </si>
  <si>
    <t>Synthetic Title 65</t>
  </si>
  <si>
    <t>Tom Hanks, Zendaya, Scarlett Johansson</t>
  </si>
  <si>
    <t>S66</t>
  </si>
  <si>
    <t>Synthetic Title 66</t>
  </si>
  <si>
    <t>Brad Pitt, Leonardo Dicaprio</t>
  </si>
  <si>
    <t>S67</t>
  </si>
  <si>
    <t>Synthetic Title 67</t>
  </si>
  <si>
    <t>S68</t>
  </si>
  <si>
    <t>Synthetic Title 68</t>
  </si>
  <si>
    <t>Morgan Freeman, Tom Hanks, Brad Pitt</t>
  </si>
  <si>
    <t>S69</t>
  </si>
  <si>
    <t>Synthetic Title 69</t>
  </si>
  <si>
    <t>S70</t>
  </si>
  <si>
    <t>Synthetic Title 70</t>
  </si>
  <si>
    <t>Viola Davis, Zendaya, Brad Pitt</t>
  </si>
  <si>
    <t>S71</t>
  </si>
  <si>
    <t>Synthetic Title 71</t>
  </si>
  <si>
    <t>Zendaya, Leonardo Dicaprio, Brad Pitt</t>
  </si>
  <si>
    <t>S72</t>
  </si>
  <si>
    <t>Synthetic Title 72</t>
  </si>
  <si>
    <t>S73</t>
  </si>
  <si>
    <t>Synthetic Title 73</t>
  </si>
  <si>
    <t>Scarlett Johansson, Brad Pitt, Morgan Freeman</t>
  </si>
  <si>
    <t>S74</t>
  </si>
  <si>
    <t>Synthetic Title 74</t>
  </si>
  <si>
    <t>S75</t>
  </si>
  <si>
    <t>Synthetic Title 75</t>
  </si>
  <si>
    <t>S76</t>
  </si>
  <si>
    <t>Synthetic Title 76</t>
  </si>
  <si>
    <t>S77</t>
  </si>
  <si>
    <t>Synthetic Title 77</t>
  </si>
  <si>
    <t>Zendaya, Leonardo Dicaprio, Viola Davis</t>
  </si>
  <si>
    <t>S78</t>
  </si>
  <si>
    <t>Synthetic Title 78</t>
  </si>
  <si>
    <t>Leonardo Dicaprio, Viola Davis, Morgan Freeman</t>
  </si>
  <si>
    <t>S79</t>
  </si>
  <si>
    <t>Synthetic Title 79</t>
  </si>
  <si>
    <t>Scarlett Johansson, Viola Davis, Leonardo Dicaprio</t>
  </si>
  <si>
    <t>S80</t>
  </si>
  <si>
    <t>Synthetic Title 80</t>
  </si>
  <si>
    <t>Morgan Freeman, Leonardo Dicaprio, Zendaya</t>
  </si>
  <si>
    <t>S81</t>
  </si>
  <si>
    <t>Synthetic Title 81</t>
  </si>
  <si>
    <t>Leonardo Dicaprio, Viola Davis, Tom Hanks</t>
  </si>
  <si>
    <t>S82</t>
  </si>
  <si>
    <t>Synthetic Title 82</t>
  </si>
  <si>
    <t>Viola Davis, Zendaya, Tom Hanks</t>
  </si>
  <si>
    <t>S83</t>
  </si>
  <si>
    <t>Synthetic Title 83</t>
  </si>
  <si>
    <t>Scarlett Johansson, Morgan Freeman</t>
  </si>
  <si>
    <t>S84</t>
  </si>
  <si>
    <t>Synthetic Title 84</t>
  </si>
  <si>
    <t>Scarlett Johansson, Leonardo Dicaprio</t>
  </si>
  <si>
    <t>S85</t>
  </si>
  <si>
    <t>Synthetic Title 85</t>
  </si>
  <si>
    <t>S86</t>
  </si>
  <si>
    <t>Synthetic Title 86</t>
  </si>
  <si>
    <t>S87</t>
  </si>
  <si>
    <t>Synthetic Title 87</t>
  </si>
  <si>
    <t>S88</t>
  </si>
  <si>
    <t>Synthetic Title 88</t>
  </si>
  <si>
    <t>Brad Pitt, Morgan Freeman, Tom Hanks</t>
  </si>
  <si>
    <t>S89</t>
  </si>
  <si>
    <t>Synthetic Title 89</t>
  </si>
  <si>
    <t>S90</t>
  </si>
  <si>
    <t>Synthetic Title 90</t>
  </si>
  <si>
    <t>S91</t>
  </si>
  <si>
    <t>Synthetic Title 91</t>
  </si>
  <si>
    <t>S92</t>
  </si>
  <si>
    <t>Synthetic Title 92</t>
  </si>
  <si>
    <t>S93</t>
  </si>
  <si>
    <t>Synthetic Title 93</t>
  </si>
  <si>
    <t>Viola Davis, Morgan Freeman</t>
  </si>
  <si>
    <t>S94</t>
  </si>
  <si>
    <t>Synthetic Title 94</t>
  </si>
  <si>
    <t>S95</t>
  </si>
  <si>
    <t>Synthetic Title 95</t>
  </si>
  <si>
    <t>Morgan Freeman, Tom Hanks, Leonardo Dicaprio</t>
  </si>
  <si>
    <t>S96</t>
  </si>
  <si>
    <t>Synthetic Title 96</t>
  </si>
  <si>
    <t>Leonardo Dicaprio, Scarlett Johansson, Brad Pitt</t>
  </si>
  <si>
    <t>S97</t>
  </si>
  <si>
    <t>Synthetic Title 97</t>
  </si>
  <si>
    <t>S98</t>
  </si>
  <si>
    <t>Synthetic Title 98</t>
  </si>
  <si>
    <t>S99</t>
  </si>
  <si>
    <t>Synthetic Title 99</t>
  </si>
  <si>
    <t>S100</t>
  </si>
  <si>
    <t>Synthetic Title 100</t>
  </si>
  <si>
    <t>S101</t>
  </si>
  <si>
    <t>Synthetic Title 101</t>
  </si>
  <si>
    <t>Viola Davis, Leonardo Dicaprio, Brad Pitt</t>
  </si>
  <si>
    <t>S102</t>
  </si>
  <si>
    <t>Synthetic Title 102</t>
  </si>
  <si>
    <t>S103</t>
  </si>
  <si>
    <t>Synthetic Title 103</t>
  </si>
  <si>
    <t>S104</t>
  </si>
  <si>
    <t>Synthetic Title 104</t>
  </si>
  <si>
    <t>Zendaya, Tom Hanks, Leonardo Dicaprio</t>
  </si>
  <si>
    <t>S105</t>
  </si>
  <si>
    <t>Synthetic Title 105</t>
  </si>
  <si>
    <t>Viola Davis, Morgan Freeman, Brad Pitt</t>
  </si>
  <si>
    <t>S106</t>
  </si>
  <si>
    <t>Synthetic Title 106</t>
  </si>
  <si>
    <t>S107</t>
  </si>
  <si>
    <t>Synthetic Title 107</t>
  </si>
  <si>
    <t>S108</t>
  </si>
  <si>
    <t>Synthetic Title 108</t>
  </si>
  <si>
    <t>S109</t>
  </si>
  <si>
    <t>Synthetic Title 109</t>
  </si>
  <si>
    <t>S110</t>
  </si>
  <si>
    <t>Synthetic Title 110</t>
  </si>
  <si>
    <t>S111</t>
  </si>
  <si>
    <t>Synthetic Title 111</t>
  </si>
  <si>
    <t>S112</t>
  </si>
  <si>
    <t>Synthetic Title 112</t>
  </si>
  <si>
    <t>S113</t>
  </si>
  <si>
    <t>Synthetic Title 113</t>
  </si>
  <si>
    <t>S114</t>
  </si>
  <si>
    <t>Synthetic Title 114</t>
  </si>
  <si>
    <t>S115</t>
  </si>
  <si>
    <t>Synthetic Title 115</t>
  </si>
  <si>
    <t>S116</t>
  </si>
  <si>
    <t>Synthetic Title 116</t>
  </si>
  <si>
    <t>S117</t>
  </si>
  <si>
    <t>Synthetic Title 117</t>
  </si>
  <si>
    <t>Zendaya, Viola Davis</t>
  </si>
  <si>
    <t>S118</t>
  </si>
  <si>
    <t>Synthetic Title 118</t>
  </si>
  <si>
    <t>Brad Pitt, Morgan Freeman</t>
  </si>
  <si>
    <t>S119</t>
  </si>
  <si>
    <t>Synthetic Title 119</t>
  </si>
  <si>
    <t>S120</t>
  </si>
  <si>
    <t>Synthetic Title 120</t>
  </si>
  <si>
    <t>S121</t>
  </si>
  <si>
    <t>Synthetic Title 121</t>
  </si>
  <si>
    <t>Brad Pitt, Scarlett Johansson</t>
  </si>
  <si>
    <t>S122</t>
  </si>
  <si>
    <t>Synthetic Title 122</t>
  </si>
  <si>
    <t>Scarlett Johansson, Tom Hanks, Leonardo Dicaprio</t>
  </si>
  <si>
    <t>S123</t>
  </si>
  <si>
    <t>Synthetic Title 123</t>
  </si>
  <si>
    <t>S124</t>
  </si>
  <si>
    <t>Synthetic Title 124</t>
  </si>
  <si>
    <t>S125</t>
  </si>
  <si>
    <t>Synthetic Title 125</t>
  </si>
  <si>
    <t>Viola Davis, Leonardo Dicaprio</t>
  </si>
  <si>
    <t>S126</t>
  </si>
  <si>
    <t>Synthetic Title 126</t>
  </si>
  <si>
    <t>Tom Hanks, Leonardo Dicaprio, Brad Pitt</t>
  </si>
  <si>
    <t>S127</t>
  </si>
  <si>
    <t>Synthetic Title 127</t>
  </si>
  <si>
    <t>S128</t>
  </si>
  <si>
    <t>Synthetic Title 128</t>
  </si>
  <si>
    <t>Viola Davis, Tom Hanks</t>
  </si>
  <si>
    <t>S129</t>
  </si>
  <si>
    <t>Synthetic Title 129</t>
  </si>
  <si>
    <t>S130</t>
  </si>
  <si>
    <t>Synthetic Title 130</t>
  </si>
  <si>
    <t>Tom Hanks, Morgan Freeman</t>
  </si>
  <si>
    <t>S131</t>
  </si>
  <si>
    <t>Synthetic Title 131</t>
  </si>
  <si>
    <t>S132</t>
  </si>
  <si>
    <t>Synthetic Title 132</t>
  </si>
  <si>
    <t>S133</t>
  </si>
  <si>
    <t>Synthetic Title 133</t>
  </si>
  <si>
    <t>S134</t>
  </si>
  <si>
    <t>Synthetic Title 134</t>
  </si>
  <si>
    <t>Viola Davis, Morgan Freeman, Tom Hanks</t>
  </si>
  <si>
    <t>S135</t>
  </si>
  <si>
    <t>Synthetic Title 135</t>
  </si>
  <si>
    <t>S136</t>
  </si>
  <si>
    <t>Synthetic Title 136</t>
  </si>
  <si>
    <t>Morgan Freeman, Leonardo Dicaprio, Viola Davis</t>
  </si>
  <si>
    <t>S137</t>
  </si>
  <si>
    <t>Synthetic Title 137</t>
  </si>
  <si>
    <t>S138</t>
  </si>
  <si>
    <t>Synthetic Title 138</t>
  </si>
  <si>
    <t>S139</t>
  </si>
  <si>
    <t>Synthetic Title 139</t>
  </si>
  <si>
    <t>S140</t>
  </si>
  <si>
    <t>Synthetic Title 140</t>
  </si>
  <si>
    <t>Brad Pitt, Tom Hanks</t>
  </si>
  <si>
    <t>S141</t>
  </si>
  <si>
    <t>Synthetic Title 141</t>
  </si>
  <si>
    <t>S142</t>
  </si>
  <si>
    <t>Synthetic Title 142</t>
  </si>
  <si>
    <t>Morgan Freeman, Tom Hanks, Viola Davis</t>
  </si>
  <si>
    <t>S143</t>
  </si>
  <si>
    <t>Synthetic Title 143</t>
  </si>
  <si>
    <t>S144</t>
  </si>
  <si>
    <t>Synthetic Title 144</t>
  </si>
  <si>
    <t>S145</t>
  </si>
  <si>
    <t>Synthetic Title 145</t>
  </si>
  <si>
    <t>S146</t>
  </si>
  <si>
    <t>Synthetic Title 146</t>
  </si>
  <si>
    <t>Morgan Freeman, Viola Davis</t>
  </si>
  <si>
    <t>S147</t>
  </si>
  <si>
    <t>Synthetic Title 147</t>
  </si>
  <si>
    <t>S148</t>
  </si>
  <si>
    <t>Synthetic Title 148</t>
  </si>
  <si>
    <t>Brad Pitt, Scarlett Johansson, Viola Davis</t>
  </si>
  <si>
    <t>S149</t>
  </si>
  <si>
    <t>Synthetic Title 149</t>
  </si>
  <si>
    <t>Zendaya, Leonardo Dicaprio, Tom Hanks</t>
  </si>
  <si>
    <t>S150</t>
  </si>
  <si>
    <t>Synthetic Title 150</t>
  </si>
  <si>
    <t>S151</t>
  </si>
  <si>
    <t>Synthetic Title 151</t>
  </si>
  <si>
    <t>S152</t>
  </si>
  <si>
    <t>Synthetic Title 152</t>
  </si>
  <si>
    <t>S153</t>
  </si>
  <si>
    <t>Synthetic Title 153</t>
  </si>
  <si>
    <t>S154</t>
  </si>
  <si>
    <t>Synthetic Title 154</t>
  </si>
  <si>
    <t>S155</t>
  </si>
  <si>
    <t>Synthetic Title 155</t>
  </si>
  <si>
    <t>Leonardo Dicaprio, Tom Hanks</t>
  </si>
  <si>
    <t>S156</t>
  </si>
  <si>
    <t>Synthetic Title 156</t>
  </si>
  <si>
    <t>S157</t>
  </si>
  <si>
    <t>Synthetic Title 157</t>
  </si>
  <si>
    <t>S158</t>
  </si>
  <si>
    <t>Synthetic Title 158</t>
  </si>
  <si>
    <t>S159</t>
  </si>
  <si>
    <t>Synthetic Title 159</t>
  </si>
  <si>
    <t>S160</t>
  </si>
  <si>
    <t>Synthetic Title 160</t>
  </si>
  <si>
    <t>S161</t>
  </si>
  <si>
    <t>Synthetic Title 161</t>
  </si>
  <si>
    <t>S162</t>
  </si>
  <si>
    <t>Synthetic Title 162</t>
  </si>
  <si>
    <t>Tom Hanks, Brad Pitt, Morgan Freeman</t>
  </si>
  <si>
    <t>S163</t>
  </si>
  <si>
    <t>Synthetic Title 163</t>
  </si>
  <si>
    <t>S164</t>
  </si>
  <si>
    <t>Synthetic Title 164</t>
  </si>
  <si>
    <t>S165</t>
  </si>
  <si>
    <t>Synthetic Title 165</t>
  </si>
  <si>
    <t>S166</t>
  </si>
  <si>
    <t>Synthetic Title 166</t>
  </si>
  <si>
    <t>S167</t>
  </si>
  <si>
    <t>Synthetic Title 167</t>
  </si>
  <si>
    <t>S168</t>
  </si>
  <si>
    <t>Synthetic Title 168</t>
  </si>
  <si>
    <t>S169</t>
  </si>
  <si>
    <t>Synthetic Title 169</t>
  </si>
  <si>
    <t>S170</t>
  </si>
  <si>
    <t>Synthetic Title 170</t>
  </si>
  <si>
    <t>S171</t>
  </si>
  <si>
    <t>Synthetic Title 171</t>
  </si>
  <si>
    <t>S172</t>
  </si>
  <si>
    <t>Synthetic Title 172</t>
  </si>
  <si>
    <t>S173</t>
  </si>
  <si>
    <t>Synthetic Title 173</t>
  </si>
  <si>
    <t>S174</t>
  </si>
  <si>
    <t>Synthetic Title 174</t>
  </si>
  <si>
    <t>S175</t>
  </si>
  <si>
    <t>Synthetic Title 175</t>
  </si>
  <si>
    <t>S176</t>
  </si>
  <si>
    <t>Synthetic Title 176</t>
  </si>
  <si>
    <t>Zendaya, Viola Davis, Tom Hanks</t>
  </si>
  <si>
    <t>S177</t>
  </si>
  <si>
    <t>Synthetic Title 177</t>
  </si>
  <si>
    <t>S178</t>
  </si>
  <si>
    <t>Synthetic Title 178</t>
  </si>
  <si>
    <t>Zendaya, Tom Hanks</t>
  </si>
  <si>
    <t>S179</t>
  </si>
  <si>
    <t>Synthetic Title 179</t>
  </si>
  <si>
    <t>S180</t>
  </si>
  <si>
    <t>Synthetic Title 180</t>
  </si>
  <si>
    <t>S181</t>
  </si>
  <si>
    <t>Synthetic Title 181</t>
  </si>
  <si>
    <t>S182</t>
  </si>
  <si>
    <t>Synthetic Title 182</t>
  </si>
  <si>
    <t>S183</t>
  </si>
  <si>
    <t>Synthetic Title 183</t>
  </si>
  <si>
    <t>S184</t>
  </si>
  <si>
    <t>Synthetic Title 184</t>
  </si>
  <si>
    <t>S185</t>
  </si>
  <si>
    <t>Synthetic Title 185</t>
  </si>
  <si>
    <t>S186</t>
  </si>
  <si>
    <t>Synthetic Title 186</t>
  </si>
  <si>
    <t>S187</t>
  </si>
  <si>
    <t>Synthetic Title 187</t>
  </si>
  <si>
    <t>S188</t>
  </si>
  <si>
    <t>Synthetic Title 188</t>
  </si>
  <si>
    <t>S189</t>
  </si>
  <si>
    <t>Synthetic Title 189</t>
  </si>
  <si>
    <t>S190</t>
  </si>
  <si>
    <t>Synthetic Title 190</t>
  </si>
  <si>
    <t>Leonardo Dicaprio, Scarlett Johansson</t>
  </si>
  <si>
    <t>S191</t>
  </si>
  <si>
    <t>Synthetic Title 191</t>
  </si>
  <si>
    <t>S192</t>
  </si>
  <si>
    <t>Synthetic Title 192</t>
  </si>
  <si>
    <t>S193</t>
  </si>
  <si>
    <t>Synthetic Title 193</t>
  </si>
  <si>
    <t>S194</t>
  </si>
  <si>
    <t>Synthetic Title 194</t>
  </si>
  <si>
    <t>Leonardo Dicaprio, Scarlett Johansson, Viola Davis</t>
  </si>
  <si>
    <t>S195</t>
  </si>
  <si>
    <t>Synthetic Title 195</t>
  </si>
  <si>
    <t>S196</t>
  </si>
  <si>
    <t>Synthetic Title 196</t>
  </si>
  <si>
    <t>S197</t>
  </si>
  <si>
    <t>Synthetic Title 197</t>
  </si>
  <si>
    <t>Morgan Freeman, Zendaya, Brad Pitt</t>
  </si>
  <si>
    <t>S198</t>
  </si>
  <si>
    <t>Synthetic Title 198</t>
  </si>
  <si>
    <t>S199</t>
  </si>
  <si>
    <t>Synthetic Title 199</t>
  </si>
  <si>
    <t>S200</t>
  </si>
  <si>
    <t>Synthetic Title 200</t>
  </si>
  <si>
    <t>S201</t>
  </si>
  <si>
    <t>Synthetic Title 201</t>
  </si>
  <si>
    <t>S202</t>
  </si>
  <si>
    <t>Synthetic Title 202</t>
  </si>
  <si>
    <t>S203</t>
  </si>
  <si>
    <t>Synthetic Title 203</t>
  </si>
  <si>
    <t>S204</t>
  </si>
  <si>
    <t>Synthetic Title 204</t>
  </si>
  <si>
    <t>S205</t>
  </si>
  <si>
    <t>Synthetic Title 205</t>
  </si>
  <si>
    <t>S206</t>
  </si>
  <si>
    <t>Synthetic Title 206</t>
  </si>
  <si>
    <t>S207</t>
  </si>
  <si>
    <t>Synthetic Title 207</t>
  </si>
  <si>
    <t>Scarlett Johansson, Viola Davis, Morgan Freeman</t>
  </si>
  <si>
    <t>S208</t>
  </si>
  <si>
    <t>Synthetic Title 208</t>
  </si>
  <si>
    <t>S209</t>
  </si>
  <si>
    <t>Synthetic Title 209</t>
  </si>
  <si>
    <t>S210</t>
  </si>
  <si>
    <t>Synthetic Title 210</t>
  </si>
  <si>
    <t>S211</t>
  </si>
  <si>
    <t>Synthetic Title 211</t>
  </si>
  <si>
    <t>S212</t>
  </si>
  <si>
    <t>Synthetic Title 212</t>
  </si>
  <si>
    <t>S213</t>
  </si>
  <si>
    <t>Synthetic Title 213</t>
  </si>
  <si>
    <t>Morgan Freeman, Scarlett Johansson, Zendaya</t>
  </si>
  <si>
    <t>S214</t>
  </si>
  <si>
    <t>Synthetic Title 214</t>
  </si>
  <si>
    <t>S215</t>
  </si>
  <si>
    <t>Synthetic Title 215</t>
  </si>
  <si>
    <t>Scarlett Johansson, Morgan Freeman, Brad Pitt</t>
  </si>
  <si>
    <t>S216</t>
  </si>
  <si>
    <t>Synthetic Title 216</t>
  </si>
  <si>
    <t>S217</t>
  </si>
  <si>
    <t>Synthetic Title 217</t>
  </si>
  <si>
    <t>S218</t>
  </si>
  <si>
    <t>Synthetic Title 218</t>
  </si>
  <si>
    <t>S219</t>
  </si>
  <si>
    <t>Synthetic Title 219</t>
  </si>
  <si>
    <t>S220</t>
  </si>
  <si>
    <t>Synthetic Title 220</t>
  </si>
  <si>
    <t>S221</t>
  </si>
  <si>
    <t>Synthetic Title 221</t>
  </si>
  <si>
    <t>S222</t>
  </si>
  <si>
    <t>Synthetic Title 222</t>
  </si>
  <si>
    <t>Brad Pitt, Zendaya, Morgan Freeman</t>
  </si>
  <si>
    <t>S223</t>
  </si>
  <si>
    <t>Synthetic Title 223</t>
  </si>
  <si>
    <t>S224</t>
  </si>
  <si>
    <t>Synthetic Title 224</t>
  </si>
  <si>
    <t>Brad Pitt, Leonardo Dicaprio, Morgan Freeman</t>
  </si>
  <si>
    <t>S225</t>
  </si>
  <si>
    <t>Synthetic Title 225</t>
  </si>
  <si>
    <t>S226</t>
  </si>
  <si>
    <t>Synthetic Title 226</t>
  </si>
  <si>
    <t>S227</t>
  </si>
  <si>
    <t>Synthetic Title 227</t>
  </si>
  <si>
    <t>S228</t>
  </si>
  <si>
    <t>Synthetic Title 228</t>
  </si>
  <si>
    <t>S229</t>
  </si>
  <si>
    <t>Synthetic Title 229</t>
  </si>
  <si>
    <t>S230</t>
  </si>
  <si>
    <t>Synthetic Title 230</t>
  </si>
  <si>
    <t>S231</t>
  </si>
  <si>
    <t>Synthetic Title 231</t>
  </si>
  <si>
    <t>Tom Hanks, Morgan Freeman, Brad Pitt</t>
  </si>
  <si>
    <t>S232</t>
  </si>
  <si>
    <t>Synthetic Title 232</t>
  </si>
  <si>
    <t>Viola Davis, Brad Pitt, Tom Hanks</t>
  </si>
  <si>
    <t>S233</t>
  </si>
  <si>
    <t>Synthetic Title 233</t>
  </si>
  <si>
    <t>S234</t>
  </si>
  <si>
    <t>Synthetic Title 234</t>
  </si>
  <si>
    <t>Scarlett Johansson, Brad Pitt, Viola Davis</t>
  </si>
  <si>
    <t>S235</t>
  </si>
  <si>
    <t>Synthetic Title 235</t>
  </si>
  <si>
    <t>S236</t>
  </si>
  <si>
    <t>Synthetic Title 236</t>
  </si>
  <si>
    <t>S237</t>
  </si>
  <si>
    <t>Synthetic Title 237</t>
  </si>
  <si>
    <t>S238</t>
  </si>
  <si>
    <t>Synthetic Title 238</t>
  </si>
  <si>
    <t>S239</t>
  </si>
  <si>
    <t>Synthetic Title 239</t>
  </si>
  <si>
    <t>S240</t>
  </si>
  <si>
    <t>Synthetic Title 240</t>
  </si>
  <si>
    <t>S241</t>
  </si>
  <si>
    <t>Synthetic Title 241</t>
  </si>
  <si>
    <t>S242</t>
  </si>
  <si>
    <t>Synthetic Title 242</t>
  </si>
  <si>
    <t>S243</t>
  </si>
  <si>
    <t>Synthetic Title 243</t>
  </si>
  <si>
    <t>S244</t>
  </si>
  <si>
    <t>Synthetic Title 244</t>
  </si>
  <si>
    <t>Morgan Freeman, Zendaya, Viola Davis</t>
  </si>
  <si>
    <t>S245</t>
  </si>
  <si>
    <t>Synthetic Title 245</t>
  </si>
  <si>
    <t>S246</t>
  </si>
  <si>
    <t>Synthetic Title 246</t>
  </si>
  <si>
    <t>Scarlett Johansson, Tom Hanks, Zendaya</t>
  </si>
  <si>
    <t>S247</t>
  </si>
  <si>
    <t>Synthetic Title 247</t>
  </si>
  <si>
    <t>Zendaya, Tom Hanks, Brad Pitt</t>
  </si>
  <si>
    <t>S248</t>
  </si>
  <si>
    <t>Synthetic Title 248</t>
  </si>
  <si>
    <t>S249</t>
  </si>
  <si>
    <t>Synthetic Title 249</t>
  </si>
  <si>
    <t>Leonardo Dicaprio, Scarlett Johansson, Tom Hanks</t>
  </si>
  <si>
    <t>S250</t>
  </si>
  <si>
    <t>Synthetic Title 250</t>
  </si>
  <si>
    <t>S251</t>
  </si>
  <si>
    <t>Synthetic Title 251</t>
  </si>
  <si>
    <t>S252</t>
  </si>
  <si>
    <t>Synthetic Title 252</t>
  </si>
  <si>
    <t>S253</t>
  </si>
  <si>
    <t>Synthetic Title 253</t>
  </si>
  <si>
    <t>S254</t>
  </si>
  <si>
    <t>Synthetic Title 254</t>
  </si>
  <si>
    <t>Scarlett Johansson, Brad Pitt, Zendaya</t>
  </si>
  <si>
    <t>S255</t>
  </si>
  <si>
    <t>Synthetic Title 255</t>
  </si>
  <si>
    <t>Leonardo Dicaprio, Zendaya, Viola Davis</t>
  </si>
  <si>
    <t>S256</t>
  </si>
  <si>
    <t>Synthetic Title 256</t>
  </si>
  <si>
    <t>S257</t>
  </si>
  <si>
    <t>Synthetic Title 257</t>
  </si>
  <si>
    <t>Zendaya, Brad Pitt, Leonardo Dicaprio</t>
  </si>
  <si>
    <t>S258</t>
  </si>
  <si>
    <t>Synthetic Title 258</t>
  </si>
  <si>
    <t>S259</t>
  </si>
  <si>
    <t>Synthetic Title 259</t>
  </si>
  <si>
    <t>Brad Pitt, Scarlett Johansson, Leonardo Dicaprio</t>
  </si>
  <si>
    <t>S260</t>
  </si>
  <si>
    <t>Synthetic Title 260</t>
  </si>
  <si>
    <t>Tom Hanks, Brad Pitt, Zendaya</t>
  </si>
  <si>
    <t>S261</t>
  </si>
  <si>
    <t>Synthetic Title 261</t>
  </si>
  <si>
    <t>S262</t>
  </si>
  <si>
    <t>Synthetic Title 262</t>
  </si>
  <si>
    <t>S263</t>
  </si>
  <si>
    <t>Synthetic Title 263</t>
  </si>
  <si>
    <t>S264</t>
  </si>
  <si>
    <t>Synthetic Title 264</t>
  </si>
  <si>
    <t>S265</t>
  </si>
  <si>
    <t>Synthetic Title 265</t>
  </si>
  <si>
    <t>S266</t>
  </si>
  <si>
    <t>Synthetic Title 266</t>
  </si>
  <si>
    <t>S267</t>
  </si>
  <si>
    <t>Synthetic Title 267</t>
  </si>
  <si>
    <t>S268</t>
  </si>
  <si>
    <t>Synthetic Title 268</t>
  </si>
  <si>
    <t>S269</t>
  </si>
  <si>
    <t>Synthetic Title 269</t>
  </si>
  <si>
    <t>S270</t>
  </si>
  <si>
    <t>Synthetic Title 270</t>
  </si>
  <si>
    <t>S271</t>
  </si>
  <si>
    <t>Synthetic Title 271</t>
  </si>
  <si>
    <t>S272</t>
  </si>
  <si>
    <t>Synthetic Title 272</t>
  </si>
  <si>
    <t>S273</t>
  </si>
  <si>
    <t>Synthetic Title 273</t>
  </si>
  <si>
    <t>S274</t>
  </si>
  <si>
    <t>Synthetic Title 274</t>
  </si>
  <si>
    <t>S275</t>
  </si>
  <si>
    <t>Synthetic Title 275</t>
  </si>
  <si>
    <t>S276</t>
  </si>
  <si>
    <t>Synthetic Title 276</t>
  </si>
  <si>
    <t>S277</t>
  </si>
  <si>
    <t>Synthetic Title 277</t>
  </si>
  <si>
    <t>S278</t>
  </si>
  <si>
    <t>Synthetic Title 278</t>
  </si>
  <si>
    <t>S279</t>
  </si>
  <si>
    <t>Synthetic Title 279</t>
  </si>
  <si>
    <t>S280</t>
  </si>
  <si>
    <t>Synthetic Title 280</t>
  </si>
  <si>
    <t>S281</t>
  </si>
  <si>
    <t>Synthetic Title 281</t>
  </si>
  <si>
    <t>S282</t>
  </si>
  <si>
    <t>Synthetic Title 282</t>
  </si>
  <si>
    <t>S283</t>
  </si>
  <si>
    <t>Synthetic Title 283</t>
  </si>
  <si>
    <t>S284</t>
  </si>
  <si>
    <t>Synthetic Title 284</t>
  </si>
  <si>
    <t>Viola Davis, Scarlett Johansson</t>
  </si>
  <si>
    <t>S285</t>
  </si>
  <si>
    <t>Synthetic Title 285</t>
  </si>
  <si>
    <t>S286</t>
  </si>
  <si>
    <t>Synthetic Title 286</t>
  </si>
  <si>
    <t>Scarlett Johansson, Brad Pitt</t>
  </si>
  <si>
    <t>S287</t>
  </si>
  <si>
    <t>Synthetic Title 287</t>
  </si>
  <si>
    <t>S288</t>
  </si>
  <si>
    <t>Synthetic Title 288</t>
  </si>
  <si>
    <t>Tom Hanks, Viola Davis, Zendaya</t>
  </si>
  <si>
    <t>S289</t>
  </si>
  <si>
    <t>Synthetic Title 289</t>
  </si>
  <si>
    <t>Viola Davis, Tom Hanks, Morgan Freeman</t>
  </si>
  <si>
    <t>S290</t>
  </si>
  <si>
    <t>Synthetic Title 290</t>
  </si>
  <si>
    <t>Scarlett Johansson, Leonardo Dicaprio, Zendaya</t>
  </si>
  <si>
    <t>S291</t>
  </si>
  <si>
    <t>Synthetic Title 291</t>
  </si>
  <si>
    <t>S292</t>
  </si>
  <si>
    <t>Synthetic Title 292</t>
  </si>
  <si>
    <t>S293</t>
  </si>
  <si>
    <t>Synthetic Title 293</t>
  </si>
  <si>
    <t>S294</t>
  </si>
  <si>
    <t>Synthetic Title 294</t>
  </si>
  <si>
    <t>S295</t>
  </si>
  <si>
    <t>Synthetic Title 295</t>
  </si>
  <si>
    <t>S296</t>
  </si>
  <si>
    <t>Synthetic Title 296</t>
  </si>
  <si>
    <t>S297</t>
  </si>
  <si>
    <t>Synthetic Title 297</t>
  </si>
  <si>
    <t>S298</t>
  </si>
  <si>
    <t>Synthetic Title 298</t>
  </si>
  <si>
    <t>S299</t>
  </si>
  <si>
    <t>Synthetic Title 299</t>
  </si>
  <si>
    <t>S300</t>
  </si>
  <si>
    <t>Synthetic Title 300</t>
  </si>
  <si>
    <t>S301</t>
  </si>
  <si>
    <t>Synthetic Title 301</t>
  </si>
  <si>
    <t>Scarlett Johansson, Tom Hanks, Morgan Freeman</t>
  </si>
  <si>
    <t>S302</t>
  </si>
  <si>
    <t>Synthetic Title 302</t>
  </si>
  <si>
    <t>S303</t>
  </si>
  <si>
    <t>Synthetic Title 303</t>
  </si>
  <si>
    <t>S304</t>
  </si>
  <si>
    <t>Synthetic Title 304</t>
  </si>
  <si>
    <t>S305</t>
  </si>
  <si>
    <t>Synthetic Title 305</t>
  </si>
  <si>
    <t>S306</t>
  </si>
  <si>
    <t>Synthetic Title 306</t>
  </si>
  <si>
    <t>S307</t>
  </si>
  <si>
    <t>Synthetic Title 307</t>
  </si>
  <si>
    <t>S308</t>
  </si>
  <si>
    <t>Synthetic Title 308</t>
  </si>
  <si>
    <t>Brad Pitt, Leonardo Dicaprio, Scarlett Johansson</t>
  </si>
  <si>
    <t>S309</t>
  </si>
  <si>
    <t>Synthetic Title 309</t>
  </si>
  <si>
    <t>S310</t>
  </si>
  <si>
    <t>Synthetic Title 310</t>
  </si>
  <si>
    <t>S311</t>
  </si>
  <si>
    <t>Synthetic Title 311</t>
  </si>
  <si>
    <t>S312</t>
  </si>
  <si>
    <t>Synthetic Title 312</t>
  </si>
  <si>
    <t>S313</t>
  </si>
  <si>
    <t>Synthetic Title 313</t>
  </si>
  <si>
    <t>S314</t>
  </si>
  <si>
    <t>Synthetic Title 314</t>
  </si>
  <si>
    <t>Scarlett Johansson, Leonardo Dicaprio, Morgan Freeman</t>
  </si>
  <si>
    <t>S315</t>
  </si>
  <si>
    <t>Synthetic Title 315</t>
  </si>
  <si>
    <t>Viola Davis, Zendaya, Leonardo Dicaprio</t>
  </si>
  <si>
    <t>S316</t>
  </si>
  <si>
    <t>Synthetic Title 316</t>
  </si>
  <si>
    <t>S317</t>
  </si>
  <si>
    <t>Synthetic Title 317</t>
  </si>
  <si>
    <t>S318</t>
  </si>
  <si>
    <t>Synthetic Title 318</t>
  </si>
  <si>
    <t>Brad Pitt, Morgan Freeman, Viola Davis</t>
  </si>
  <si>
    <t>S319</t>
  </si>
  <si>
    <t>Synthetic Title 319</t>
  </si>
  <si>
    <t>S320</t>
  </si>
  <si>
    <t>Synthetic Title 320</t>
  </si>
  <si>
    <t>Tom Hanks, Viola Davis, Leonardo Dicaprio</t>
  </si>
  <si>
    <t>S321</t>
  </si>
  <si>
    <t>Synthetic Title 321</t>
  </si>
  <si>
    <t>S322</t>
  </si>
  <si>
    <t>Synthetic Title 322</t>
  </si>
  <si>
    <t>S323</t>
  </si>
  <si>
    <t>Synthetic Title 323</t>
  </si>
  <si>
    <t>S324</t>
  </si>
  <si>
    <t>Synthetic Title 324</t>
  </si>
  <si>
    <t>S325</t>
  </si>
  <si>
    <t>Synthetic Title 325</t>
  </si>
  <si>
    <t>S326</t>
  </si>
  <si>
    <t>Synthetic Title 326</t>
  </si>
  <si>
    <t>S327</t>
  </si>
  <si>
    <t>Synthetic Title 327</t>
  </si>
  <si>
    <t>S328</t>
  </si>
  <si>
    <t>Synthetic Title 328</t>
  </si>
  <si>
    <t>S329</t>
  </si>
  <si>
    <t>Synthetic Title 329</t>
  </si>
  <si>
    <t>S330</t>
  </si>
  <si>
    <t>Synthetic Title 330</t>
  </si>
  <si>
    <t>S331</t>
  </si>
  <si>
    <t>Synthetic Title 331</t>
  </si>
  <si>
    <t>S332</t>
  </si>
  <si>
    <t>Synthetic Title 332</t>
  </si>
  <si>
    <t>Brad Pitt, Viola Davis, Tom Hanks</t>
  </si>
  <si>
    <t>S333</t>
  </si>
  <si>
    <t>Synthetic Title 333</t>
  </si>
  <si>
    <t>S334</t>
  </si>
  <si>
    <t>Synthetic Title 334</t>
  </si>
  <si>
    <t>Morgan Freeman, Viola Davis, Tom Hanks</t>
  </si>
  <si>
    <t>S335</t>
  </si>
  <si>
    <t>Synthetic Title 335</t>
  </si>
  <si>
    <t>S336</t>
  </si>
  <si>
    <t>Synthetic Title 336</t>
  </si>
  <si>
    <t>S337</t>
  </si>
  <si>
    <t>Synthetic Title 337</t>
  </si>
  <si>
    <t>S338</t>
  </si>
  <si>
    <t>Synthetic Title 338</t>
  </si>
  <si>
    <t>S339</t>
  </si>
  <si>
    <t>Synthetic Title 339</t>
  </si>
  <si>
    <t>Leonardo Dicaprio, Morgan Freeman, Brad Pitt</t>
  </si>
  <si>
    <t>S340</t>
  </si>
  <si>
    <t>Synthetic Title 340</t>
  </si>
  <si>
    <t>Leonardo Dicaprio, Zendaya, Scarlett Johansson</t>
  </si>
  <si>
    <t>S341</t>
  </si>
  <si>
    <t>Synthetic Title 341</t>
  </si>
  <si>
    <t>Zendaya, Scarlett Johansson, Leonardo Dicaprio</t>
  </si>
  <si>
    <t>S342</t>
  </si>
  <si>
    <t>Synthetic Title 342</t>
  </si>
  <si>
    <t>Tom Hanks, Viola Davis, Scarlett Johansson</t>
  </si>
  <si>
    <t>S343</t>
  </si>
  <si>
    <t>Synthetic Title 343</t>
  </si>
  <si>
    <t>S344</t>
  </si>
  <si>
    <t>Synthetic Title 344</t>
  </si>
  <si>
    <t>S345</t>
  </si>
  <si>
    <t>Synthetic Title 345</t>
  </si>
  <si>
    <t>S346</t>
  </si>
  <si>
    <t>Synthetic Title 346</t>
  </si>
  <si>
    <t>S347</t>
  </si>
  <si>
    <t>Synthetic Title 347</t>
  </si>
  <si>
    <t>S348</t>
  </si>
  <si>
    <t>Synthetic Title 348</t>
  </si>
  <si>
    <t>Morgan Freeman, Leonardo Dicaprio</t>
  </si>
  <si>
    <t>S349</t>
  </si>
  <si>
    <t>Synthetic Title 349</t>
  </si>
  <si>
    <t>S350</t>
  </si>
  <si>
    <t>Synthetic Title 350</t>
  </si>
  <si>
    <t>S351</t>
  </si>
  <si>
    <t>Synthetic Title 351</t>
  </si>
  <si>
    <t>S352</t>
  </si>
  <si>
    <t>Synthetic Title 352</t>
  </si>
  <si>
    <t>S353</t>
  </si>
  <si>
    <t>Synthetic Title 353</t>
  </si>
  <si>
    <t>Zendaya, Morgan Freeman, Tom Hanks</t>
  </si>
  <si>
    <t>S354</t>
  </si>
  <si>
    <t>Synthetic Title 354</t>
  </si>
  <si>
    <t>Morgan Freeman, Tom Hanks, Zendaya</t>
  </si>
  <si>
    <t>S355</t>
  </si>
  <si>
    <t>Synthetic Title 355</t>
  </si>
  <si>
    <t>S356</t>
  </si>
  <si>
    <t>Synthetic Title 356</t>
  </si>
  <si>
    <t>S357</t>
  </si>
  <si>
    <t>Synthetic Title 357</t>
  </si>
  <si>
    <t>S358</t>
  </si>
  <si>
    <t>Synthetic Title 358</t>
  </si>
  <si>
    <t>S359</t>
  </si>
  <si>
    <t>Synthetic Title 359</t>
  </si>
  <si>
    <t>S360</t>
  </si>
  <si>
    <t>Synthetic Title 360</t>
  </si>
  <si>
    <t>S361</t>
  </si>
  <si>
    <t>Synthetic Title 361</t>
  </si>
  <si>
    <t>S362</t>
  </si>
  <si>
    <t>Synthetic Title 362</t>
  </si>
  <si>
    <t>S363</t>
  </si>
  <si>
    <t>Synthetic Title 363</t>
  </si>
  <si>
    <t>Viola Davis, Leonardo Dicaprio, Morgan Freeman</t>
  </si>
  <si>
    <t>S364</t>
  </si>
  <si>
    <t>Synthetic Title 364</t>
  </si>
  <si>
    <t>Zendaya, Viola Davis, Scarlett Johansson</t>
  </si>
  <si>
    <t>S365</t>
  </si>
  <si>
    <t>Synthetic Title 365</t>
  </si>
  <si>
    <t>S366</t>
  </si>
  <si>
    <t>Synthetic Title 366</t>
  </si>
  <si>
    <t>S367</t>
  </si>
  <si>
    <t>Synthetic Title 367</t>
  </si>
  <si>
    <t>S368</t>
  </si>
  <si>
    <t>Synthetic Title 368</t>
  </si>
  <si>
    <t>S369</t>
  </si>
  <si>
    <t>Synthetic Title 369</t>
  </si>
  <si>
    <t>S370</t>
  </si>
  <si>
    <t>Synthetic Title 370</t>
  </si>
  <si>
    <t>S371</t>
  </si>
  <si>
    <t>Synthetic Title 371</t>
  </si>
  <si>
    <t>S372</t>
  </si>
  <si>
    <t>Synthetic Title 372</t>
  </si>
  <si>
    <t>S373</t>
  </si>
  <si>
    <t>Synthetic Title 373</t>
  </si>
  <si>
    <t>S374</t>
  </si>
  <si>
    <t>Synthetic Title 374</t>
  </si>
  <si>
    <t>S375</t>
  </si>
  <si>
    <t>Synthetic Title 375</t>
  </si>
  <si>
    <t>S376</t>
  </si>
  <si>
    <t>Synthetic Title 376</t>
  </si>
  <si>
    <t>S377</t>
  </si>
  <si>
    <t>Synthetic Title 377</t>
  </si>
  <si>
    <t>S378</t>
  </si>
  <si>
    <t>Synthetic Title 378</t>
  </si>
  <si>
    <t>S379</t>
  </si>
  <si>
    <t>Synthetic Title 379</t>
  </si>
  <si>
    <t>S380</t>
  </si>
  <si>
    <t>Synthetic Title 380</t>
  </si>
  <si>
    <t>S381</t>
  </si>
  <si>
    <t>Synthetic Title 381</t>
  </si>
  <si>
    <t>S382</t>
  </si>
  <si>
    <t>Synthetic Title 382</t>
  </si>
  <si>
    <t>S383</t>
  </si>
  <si>
    <t>Synthetic Title 383</t>
  </si>
  <si>
    <t>S384</t>
  </si>
  <si>
    <t>Synthetic Title 384</t>
  </si>
  <si>
    <t>S385</t>
  </si>
  <si>
    <t>Synthetic Title 385</t>
  </si>
  <si>
    <t>S386</t>
  </si>
  <si>
    <t>Synthetic Title 386</t>
  </si>
  <si>
    <t>S387</t>
  </si>
  <si>
    <t>Synthetic Title 387</t>
  </si>
  <si>
    <t>S388</t>
  </si>
  <si>
    <t>Synthetic Title 388</t>
  </si>
  <si>
    <t>S389</t>
  </si>
  <si>
    <t>Synthetic Title 389</t>
  </si>
  <si>
    <t>S390</t>
  </si>
  <si>
    <t>Synthetic Title 390</t>
  </si>
  <si>
    <t>S391</t>
  </si>
  <si>
    <t>Synthetic Title 391</t>
  </si>
  <si>
    <t>Leonardo Dicaprio, Scarlett Johansson, Morgan Freeman</t>
  </si>
  <si>
    <t>S392</t>
  </si>
  <si>
    <t>Synthetic Title 392</t>
  </si>
  <si>
    <t>S393</t>
  </si>
  <si>
    <t>Synthetic Title 393</t>
  </si>
  <si>
    <t>Scarlett Johansson, Zendaya, Brad Pitt</t>
  </si>
  <si>
    <t>S394</t>
  </si>
  <si>
    <t>Synthetic Title 394</t>
  </si>
  <si>
    <t>S395</t>
  </si>
  <si>
    <t>Synthetic Title 395</t>
  </si>
  <si>
    <t>Morgan Freeman, Scarlett Johansson, Tom Hanks</t>
  </si>
  <si>
    <t>S396</t>
  </si>
  <si>
    <t>Synthetic Title 396</t>
  </si>
  <si>
    <t>Scarlett Johansson, Zendaya, Leonardo Dicaprio</t>
  </si>
  <si>
    <t>S397</t>
  </si>
  <si>
    <t>Synthetic Title 397</t>
  </si>
  <si>
    <t>S398</t>
  </si>
  <si>
    <t>Synthetic Title 398</t>
  </si>
  <si>
    <t>S399</t>
  </si>
  <si>
    <t>Synthetic Title 399</t>
  </si>
  <si>
    <t>S400</t>
  </si>
  <si>
    <t>Synthetic Title 400</t>
  </si>
  <si>
    <t>Tom Hanks, Morgan Freeman, Viola Davis</t>
  </si>
  <si>
    <t>S401</t>
  </si>
  <si>
    <t>Synthetic Title 401</t>
  </si>
  <si>
    <t>S402</t>
  </si>
  <si>
    <t>Synthetic Title 402</t>
  </si>
  <si>
    <t>S403</t>
  </si>
  <si>
    <t>Synthetic Title 403</t>
  </si>
  <si>
    <t>S404</t>
  </si>
  <si>
    <t>Synthetic Title 404</t>
  </si>
  <si>
    <t>Brad Pitt, Viola Davis, Morgan Freeman</t>
  </si>
  <si>
    <t>S405</t>
  </si>
  <si>
    <t>Synthetic Title 405</t>
  </si>
  <si>
    <t>S406</t>
  </si>
  <si>
    <t>Synthetic Title 406</t>
  </si>
  <si>
    <t>S407</t>
  </si>
  <si>
    <t>Synthetic Title 407</t>
  </si>
  <si>
    <t>S408</t>
  </si>
  <si>
    <t>Synthetic Title 408</t>
  </si>
  <si>
    <t>S409</t>
  </si>
  <si>
    <t>Synthetic Title 409</t>
  </si>
  <si>
    <t>S410</t>
  </si>
  <si>
    <t>Synthetic Title 410</t>
  </si>
  <si>
    <t>S411</t>
  </si>
  <si>
    <t>Synthetic Title 411</t>
  </si>
  <si>
    <t>S412</t>
  </si>
  <si>
    <t>Synthetic Title 412</t>
  </si>
  <si>
    <t>S413</t>
  </si>
  <si>
    <t>Synthetic Title 413</t>
  </si>
  <si>
    <t>Brad Pitt, Morgan Freeman, Scarlett Johansson</t>
  </si>
  <si>
    <t>S414</t>
  </si>
  <si>
    <t>Synthetic Title 414</t>
  </si>
  <si>
    <t>S415</t>
  </si>
  <si>
    <t>Synthetic Title 415</t>
  </si>
  <si>
    <t>S416</t>
  </si>
  <si>
    <t>Synthetic Title 416</t>
  </si>
  <si>
    <t>S417</t>
  </si>
  <si>
    <t>Synthetic Title 417</t>
  </si>
  <si>
    <t>S418</t>
  </si>
  <si>
    <t>Synthetic Title 418</t>
  </si>
  <si>
    <t>S419</t>
  </si>
  <si>
    <t>Synthetic Title 419</t>
  </si>
  <si>
    <t>S420</t>
  </si>
  <si>
    <t>Synthetic Title 420</t>
  </si>
  <si>
    <t>Leonardo Dicaprio, Zendaya, Brad Pitt</t>
  </si>
  <si>
    <t>S421</t>
  </si>
  <si>
    <t>Synthetic Title 421</t>
  </si>
  <si>
    <t>Leonardo Dicaprio, Viola Davis, Brad Pitt</t>
  </si>
  <si>
    <t>S422</t>
  </si>
  <si>
    <t>Synthetic Title 422</t>
  </si>
  <si>
    <t>S423</t>
  </si>
  <si>
    <t>Synthetic Title 423</t>
  </si>
  <si>
    <t>S424</t>
  </si>
  <si>
    <t>Synthetic Title 424</t>
  </si>
  <si>
    <t>S425</t>
  </si>
  <si>
    <t>Synthetic Title 425</t>
  </si>
  <si>
    <t>S426</t>
  </si>
  <si>
    <t>Synthetic Title 426</t>
  </si>
  <si>
    <t>S427</t>
  </si>
  <si>
    <t>Synthetic Title 427</t>
  </si>
  <si>
    <t>S428</t>
  </si>
  <si>
    <t>Synthetic Title 428</t>
  </si>
  <si>
    <t>S429</t>
  </si>
  <si>
    <t>Synthetic Title 429</t>
  </si>
  <si>
    <t>S430</t>
  </si>
  <si>
    <t>Synthetic Title 430</t>
  </si>
  <si>
    <t>S431</t>
  </si>
  <si>
    <t>Synthetic Title 431</t>
  </si>
  <si>
    <t>S432</t>
  </si>
  <si>
    <t>Synthetic Title 432</t>
  </si>
  <si>
    <t>S433</t>
  </si>
  <si>
    <t>Synthetic Title 433</t>
  </si>
  <si>
    <t>S434</t>
  </si>
  <si>
    <t>Synthetic Title 434</t>
  </si>
  <si>
    <t>S435</t>
  </si>
  <si>
    <t>Synthetic Title 435</t>
  </si>
  <si>
    <t>S436</t>
  </si>
  <si>
    <t>Synthetic Title 436</t>
  </si>
  <si>
    <t>S437</t>
  </si>
  <si>
    <t>Synthetic Title 437</t>
  </si>
  <si>
    <t>S438</t>
  </si>
  <si>
    <t>Synthetic Title 438</t>
  </si>
  <si>
    <t>S439</t>
  </si>
  <si>
    <t>Synthetic Title 439</t>
  </si>
  <si>
    <t>S440</t>
  </si>
  <si>
    <t>Synthetic Title 440</t>
  </si>
  <si>
    <t>Brad Pitt, Tom Hanks, Viola Davis</t>
  </si>
  <si>
    <t>S441</t>
  </si>
  <si>
    <t>Synthetic Title 441</t>
  </si>
  <si>
    <t>S442</t>
  </si>
  <si>
    <t>Synthetic Title 442</t>
  </si>
  <si>
    <t>S443</t>
  </si>
  <si>
    <t>Synthetic Title 443</t>
  </si>
  <si>
    <t>S444</t>
  </si>
  <si>
    <t>Synthetic Title 444</t>
  </si>
  <si>
    <t>S445</t>
  </si>
  <si>
    <t>Synthetic Title 445</t>
  </si>
  <si>
    <t>S446</t>
  </si>
  <si>
    <t>Synthetic Title 446</t>
  </si>
  <si>
    <t>S447</t>
  </si>
  <si>
    <t>Synthetic Title 447</t>
  </si>
  <si>
    <t>Viola Davis, Morgan Freeman, Scarlett Johansson</t>
  </si>
  <si>
    <t>S448</t>
  </si>
  <si>
    <t>Synthetic Title 448</t>
  </si>
  <si>
    <t>S449</t>
  </si>
  <si>
    <t>Synthetic Title 449</t>
  </si>
  <si>
    <t>S450</t>
  </si>
  <si>
    <t>Synthetic Title 450</t>
  </si>
  <si>
    <t>S451</t>
  </si>
  <si>
    <t>Synthetic Title 451</t>
  </si>
  <si>
    <t>S452</t>
  </si>
  <si>
    <t>Synthetic Title 452</t>
  </si>
  <si>
    <t>S453</t>
  </si>
  <si>
    <t>Synthetic Title 453</t>
  </si>
  <si>
    <t>S454</t>
  </si>
  <si>
    <t>Synthetic Title 454</t>
  </si>
  <si>
    <t>S455</t>
  </si>
  <si>
    <t>Synthetic Title 455</t>
  </si>
  <si>
    <t>Morgan Freeman, Brad Pitt, Viola Davis</t>
  </si>
  <si>
    <t>S456</t>
  </si>
  <si>
    <t>Synthetic Title 456</t>
  </si>
  <si>
    <t>S457</t>
  </si>
  <si>
    <t>Synthetic Title 457</t>
  </si>
  <si>
    <t>S458</t>
  </si>
  <si>
    <t>Synthetic Title 458</t>
  </si>
  <si>
    <t>S459</t>
  </si>
  <si>
    <t>Synthetic Title 459</t>
  </si>
  <si>
    <t>Tom Hanks, Zendaya, Morgan Freeman</t>
  </si>
  <si>
    <t>S460</t>
  </si>
  <si>
    <t>Synthetic Title 460</t>
  </si>
  <si>
    <t>S461</t>
  </si>
  <si>
    <t>Synthetic Title 461</t>
  </si>
  <si>
    <t>S462</t>
  </si>
  <si>
    <t>Synthetic Title 462</t>
  </si>
  <si>
    <t>S463</t>
  </si>
  <si>
    <t>Synthetic Title 463</t>
  </si>
  <si>
    <t>S464</t>
  </si>
  <si>
    <t>Synthetic Title 464</t>
  </si>
  <si>
    <t>Zendaya, Brad Pitt, Viola Davis</t>
  </si>
  <si>
    <t>S465</t>
  </si>
  <si>
    <t>Synthetic Title 465</t>
  </si>
  <si>
    <t>S466</t>
  </si>
  <si>
    <t>Synthetic Title 466</t>
  </si>
  <si>
    <t>S467</t>
  </si>
  <si>
    <t>Synthetic Title 467</t>
  </si>
  <si>
    <t>S468</t>
  </si>
  <si>
    <t>Synthetic Title 468</t>
  </si>
  <si>
    <t>S469</t>
  </si>
  <si>
    <t>Synthetic Title 469</t>
  </si>
  <si>
    <t>Zendaya, Viola Davis, Brad Pitt</t>
  </si>
  <si>
    <t>S470</t>
  </si>
  <si>
    <t>Synthetic Title 470</t>
  </si>
  <si>
    <t>S471</t>
  </si>
  <si>
    <t>Synthetic Title 471</t>
  </si>
  <si>
    <t>S472</t>
  </si>
  <si>
    <t>Synthetic Title 472</t>
  </si>
  <si>
    <t>S473</t>
  </si>
  <si>
    <t>Synthetic Title 473</t>
  </si>
  <si>
    <t>S474</t>
  </si>
  <si>
    <t>Synthetic Title 474</t>
  </si>
  <si>
    <t>S475</t>
  </si>
  <si>
    <t>Synthetic Title 475</t>
  </si>
  <si>
    <t>S476</t>
  </si>
  <si>
    <t>Synthetic Title 476</t>
  </si>
  <si>
    <t>S477</t>
  </si>
  <si>
    <t>Synthetic Title 477</t>
  </si>
  <si>
    <t>Viola Davis, Tom Hanks, Brad Pitt</t>
  </si>
  <si>
    <t>S478</t>
  </si>
  <si>
    <t>Synthetic Title 478</t>
  </si>
  <si>
    <t>S479</t>
  </si>
  <si>
    <t>Synthetic Title 479</t>
  </si>
  <si>
    <t>S480</t>
  </si>
  <si>
    <t>Synthetic Title 480</t>
  </si>
  <si>
    <t>S481</t>
  </si>
  <si>
    <t>Synthetic Title 481</t>
  </si>
  <si>
    <t>S482</t>
  </si>
  <si>
    <t>Synthetic Title 482</t>
  </si>
  <si>
    <t>S483</t>
  </si>
  <si>
    <t>Synthetic Title 483</t>
  </si>
  <si>
    <t>S484</t>
  </si>
  <si>
    <t>Synthetic Title 484</t>
  </si>
  <si>
    <t>S485</t>
  </si>
  <si>
    <t>Synthetic Title 485</t>
  </si>
  <si>
    <t>S486</t>
  </si>
  <si>
    <t>Synthetic Title 486</t>
  </si>
  <si>
    <t>S487</t>
  </si>
  <si>
    <t>Synthetic Title 487</t>
  </si>
  <si>
    <t>S488</t>
  </si>
  <si>
    <t>Synthetic Title 488</t>
  </si>
  <si>
    <t>Leonardo Dicaprio, Morgan Freeman, Scarlett Johansson</t>
  </si>
  <si>
    <t>S489</t>
  </si>
  <si>
    <t>Synthetic Title 489</t>
  </si>
  <si>
    <t>S490</t>
  </si>
  <si>
    <t>Synthetic Title 490</t>
  </si>
  <si>
    <t>Scarlett Johansson, Morgan Freeman, Viola Davis</t>
  </si>
  <si>
    <t>S491</t>
  </si>
  <si>
    <t>Synthetic Title 491</t>
  </si>
  <si>
    <t>S492</t>
  </si>
  <si>
    <t>Synthetic Title 492</t>
  </si>
  <si>
    <t>S493</t>
  </si>
  <si>
    <t>Synthetic Title 493</t>
  </si>
  <si>
    <t>Tom Hanks, Viola Davis, Brad Pitt</t>
  </si>
  <si>
    <t>S494</t>
  </si>
  <si>
    <t>Synthetic Title 494</t>
  </si>
  <si>
    <t>S495</t>
  </si>
  <si>
    <t>Synthetic Title 495</t>
  </si>
  <si>
    <t>Leonardo Dicaprio, Viola Davis, Zendaya</t>
  </si>
  <si>
    <t>S496</t>
  </si>
  <si>
    <t>Synthetic Title 496</t>
  </si>
  <si>
    <t>S497</t>
  </si>
  <si>
    <t>Synthetic Title 497</t>
  </si>
  <si>
    <t>Viola Davis, Leonardo Dicaprio, Tom Hanks</t>
  </si>
  <si>
    <t>S498</t>
  </si>
  <si>
    <t>Synthetic Title 498</t>
  </si>
  <si>
    <t>Brad Pitt, Viola Davis, Zendaya</t>
  </si>
  <si>
    <t>S499</t>
  </si>
  <si>
    <t>Synthetic Title 499</t>
  </si>
  <si>
    <t>S500</t>
  </si>
  <si>
    <t>Synthetic Title 500</t>
  </si>
  <si>
    <t>Morgan Freeman, Zendaya</t>
  </si>
  <si>
    <t>S501</t>
  </si>
  <si>
    <t>Synthetic Title 501</t>
  </si>
  <si>
    <t>S502</t>
  </si>
  <si>
    <t>Synthetic Title 502</t>
  </si>
  <si>
    <t>S503</t>
  </si>
  <si>
    <t>Synthetic Title 503</t>
  </si>
  <si>
    <t>S504</t>
  </si>
  <si>
    <t>Synthetic Title 504</t>
  </si>
  <si>
    <t>S505</t>
  </si>
  <si>
    <t>Synthetic Title 505</t>
  </si>
  <si>
    <t>S506</t>
  </si>
  <si>
    <t>Synthetic Title 506</t>
  </si>
  <si>
    <t>S507</t>
  </si>
  <si>
    <t>Synthetic Title 507</t>
  </si>
  <si>
    <t>S508</t>
  </si>
  <si>
    <t>Synthetic Title 508</t>
  </si>
  <si>
    <t>S509</t>
  </si>
  <si>
    <t>Synthetic Title 509</t>
  </si>
  <si>
    <t>S510</t>
  </si>
  <si>
    <t>Synthetic Title 510</t>
  </si>
  <si>
    <t>S511</t>
  </si>
  <si>
    <t>Synthetic Title 511</t>
  </si>
  <si>
    <t>S512</t>
  </si>
  <si>
    <t>Synthetic Title 512</t>
  </si>
  <si>
    <t>S513</t>
  </si>
  <si>
    <t>Synthetic Title 513</t>
  </si>
  <si>
    <t>S514</t>
  </si>
  <si>
    <t>Synthetic Title 514</t>
  </si>
  <si>
    <t>S515</t>
  </si>
  <si>
    <t>Synthetic Title 515</t>
  </si>
  <si>
    <t>S516</t>
  </si>
  <si>
    <t>Synthetic Title 516</t>
  </si>
  <si>
    <t>S517</t>
  </si>
  <si>
    <t>Synthetic Title 517</t>
  </si>
  <si>
    <t>S518</t>
  </si>
  <si>
    <t>Synthetic Title 518</t>
  </si>
  <si>
    <t>S519</t>
  </si>
  <si>
    <t>Synthetic Title 519</t>
  </si>
  <si>
    <t>S520</t>
  </si>
  <si>
    <t>Synthetic Title 520</t>
  </si>
  <si>
    <t>S521</t>
  </si>
  <si>
    <t>Synthetic Title 521</t>
  </si>
  <si>
    <t>S522</t>
  </si>
  <si>
    <t>Synthetic Title 522</t>
  </si>
  <si>
    <t>S523</t>
  </si>
  <si>
    <t>Synthetic Title 523</t>
  </si>
  <si>
    <t>S524</t>
  </si>
  <si>
    <t>Synthetic Title 524</t>
  </si>
  <si>
    <t>Tom Hanks, Leonardo Dicaprio, Viola Davis</t>
  </si>
  <si>
    <t>S525</t>
  </si>
  <si>
    <t>Synthetic Title 525</t>
  </si>
  <si>
    <t>Zendaya, Brad Pitt, Tom Hanks</t>
  </si>
  <si>
    <t>S526</t>
  </si>
  <si>
    <t>Synthetic Title 526</t>
  </si>
  <si>
    <t>Leonardo Dicaprio, Zendaya, Tom Hanks</t>
  </si>
  <si>
    <t>S527</t>
  </si>
  <si>
    <t>Synthetic Title 527</t>
  </si>
  <si>
    <t>S528</t>
  </si>
  <si>
    <t>Synthetic Title 528</t>
  </si>
  <si>
    <t>Tom Hanks, Morgan Freeman, Leonardo Dicaprio</t>
  </si>
  <si>
    <t>S529</t>
  </si>
  <si>
    <t>Synthetic Title 529</t>
  </si>
  <si>
    <t>S530</t>
  </si>
  <si>
    <t>Synthetic Title 530</t>
  </si>
  <si>
    <t>S531</t>
  </si>
  <si>
    <t>Synthetic Title 531</t>
  </si>
  <si>
    <t>S532</t>
  </si>
  <si>
    <t>Synthetic Title 532</t>
  </si>
  <si>
    <t>S533</t>
  </si>
  <si>
    <t>Synthetic Title 533</t>
  </si>
  <si>
    <t>S534</t>
  </si>
  <si>
    <t>Synthetic Title 534</t>
  </si>
  <si>
    <t>S535</t>
  </si>
  <si>
    <t>Synthetic Title 535</t>
  </si>
  <si>
    <t>S536</t>
  </si>
  <si>
    <t>Synthetic Title 536</t>
  </si>
  <si>
    <t>Morgan Freeman, Brad Pitt, Scarlett Johansson</t>
  </si>
  <si>
    <t>S537</t>
  </si>
  <si>
    <t>Synthetic Title 537</t>
  </si>
  <si>
    <t>Tom Hanks, Zendaya, Brad Pitt</t>
  </si>
  <si>
    <t>S538</t>
  </si>
  <si>
    <t>Synthetic Title 538</t>
  </si>
  <si>
    <t>S539</t>
  </si>
  <si>
    <t>Synthetic Title 539</t>
  </si>
  <si>
    <t>S540</t>
  </si>
  <si>
    <t>Synthetic Title 540</t>
  </si>
  <si>
    <t>Tom Hanks, Leonardo Dicaprio, Zendaya</t>
  </si>
  <si>
    <t>S541</t>
  </si>
  <si>
    <t>Synthetic Title 541</t>
  </si>
  <si>
    <t>S542</t>
  </si>
  <si>
    <t>Synthetic Title 542</t>
  </si>
  <si>
    <t>S543</t>
  </si>
  <si>
    <t>Synthetic Title 543</t>
  </si>
  <si>
    <t>S544</t>
  </si>
  <si>
    <t>Synthetic Title 544</t>
  </si>
  <si>
    <t>S545</t>
  </si>
  <si>
    <t>Synthetic Title 545</t>
  </si>
  <si>
    <t>S546</t>
  </si>
  <si>
    <t>Synthetic Title 546</t>
  </si>
  <si>
    <t>S547</t>
  </si>
  <si>
    <t>Synthetic Title 547</t>
  </si>
  <si>
    <t>Morgan Freeman, Brad Pitt, Leonardo Dicaprio</t>
  </si>
  <si>
    <t>S548</t>
  </si>
  <si>
    <t>Synthetic Title 548</t>
  </si>
  <si>
    <t>S549</t>
  </si>
  <si>
    <t>Synthetic Title 549</t>
  </si>
  <si>
    <t>S550</t>
  </si>
  <si>
    <t>Synthetic Title 550</t>
  </si>
  <si>
    <t>S551</t>
  </si>
  <si>
    <t>Synthetic Title 551</t>
  </si>
  <si>
    <t>S552</t>
  </si>
  <si>
    <t>Synthetic Title 552</t>
  </si>
  <si>
    <t>S553</t>
  </si>
  <si>
    <t>Synthetic Title 553</t>
  </si>
  <si>
    <t>Brad Pitt, Leonardo Dicaprio, Viola Davis</t>
  </si>
  <si>
    <t>S554</t>
  </si>
  <si>
    <t>Synthetic Title 554</t>
  </si>
  <si>
    <t>S555</t>
  </si>
  <si>
    <t>Synthetic Title 555</t>
  </si>
  <si>
    <t>S556</t>
  </si>
  <si>
    <t>Synthetic Title 556</t>
  </si>
  <si>
    <t>S557</t>
  </si>
  <si>
    <t>Synthetic Title 557</t>
  </si>
  <si>
    <t>S558</t>
  </si>
  <si>
    <t>Synthetic Title 558</t>
  </si>
  <si>
    <t>S559</t>
  </si>
  <si>
    <t>Synthetic Title 559</t>
  </si>
  <si>
    <t>S560</t>
  </si>
  <si>
    <t>Synthetic Title 560</t>
  </si>
  <si>
    <t>S561</t>
  </si>
  <si>
    <t>Synthetic Title 561</t>
  </si>
  <si>
    <t>Zendaya, Scarlett Johansson, Viola Davis</t>
  </si>
  <si>
    <t>S562</t>
  </si>
  <si>
    <t>Synthetic Title 562</t>
  </si>
  <si>
    <t>S563</t>
  </si>
  <si>
    <t>Synthetic Title 563</t>
  </si>
  <si>
    <t>S564</t>
  </si>
  <si>
    <t>Synthetic Title 564</t>
  </si>
  <si>
    <t>S565</t>
  </si>
  <si>
    <t>Synthetic Title 565</t>
  </si>
  <si>
    <t>S566</t>
  </si>
  <si>
    <t>Synthetic Title 566</t>
  </si>
  <si>
    <t>S567</t>
  </si>
  <si>
    <t>Synthetic Title 567</t>
  </si>
  <si>
    <t>S568</t>
  </si>
  <si>
    <t>Synthetic Title 568</t>
  </si>
  <si>
    <t>S569</t>
  </si>
  <si>
    <t>Synthetic Title 569</t>
  </si>
  <si>
    <t>S570</t>
  </si>
  <si>
    <t>Synthetic Title 570</t>
  </si>
  <si>
    <t>Tom Hanks, Brad Pitt, Scarlett Johansson</t>
  </si>
  <si>
    <t>S571</t>
  </si>
  <si>
    <t>Synthetic Title 571</t>
  </si>
  <si>
    <t>S572</t>
  </si>
  <si>
    <t>Synthetic Title 572</t>
  </si>
  <si>
    <t>S573</t>
  </si>
  <si>
    <t>Synthetic Title 573</t>
  </si>
  <si>
    <t>S574</t>
  </si>
  <si>
    <t>Synthetic Title 574</t>
  </si>
  <si>
    <t>S575</t>
  </si>
  <si>
    <t>Synthetic Title 575</t>
  </si>
  <si>
    <t>S576</t>
  </si>
  <si>
    <t>Synthetic Title 576</t>
  </si>
  <si>
    <t>S577</t>
  </si>
  <si>
    <t>Synthetic Title 577</t>
  </si>
  <si>
    <t>S578</t>
  </si>
  <si>
    <t>Synthetic Title 578</t>
  </si>
  <si>
    <t>Tom Hanks, Brad Pitt, Leonardo Dicaprio</t>
  </si>
  <si>
    <t>S579</t>
  </si>
  <si>
    <t>Synthetic Title 579</t>
  </si>
  <si>
    <t>S580</t>
  </si>
  <si>
    <t>Synthetic Title 580</t>
  </si>
  <si>
    <t>S581</t>
  </si>
  <si>
    <t>Synthetic Title 581</t>
  </si>
  <si>
    <t>Viola Davis, Tom Hanks, Scarlett Johansson</t>
  </si>
  <si>
    <t>S582</t>
  </si>
  <si>
    <t>Synthetic Title 582</t>
  </si>
  <si>
    <t>S583</t>
  </si>
  <si>
    <t>Synthetic Title 583</t>
  </si>
  <si>
    <t>Brad Pitt, Tom Hanks, Morgan Freeman</t>
  </si>
  <si>
    <t>S584</t>
  </si>
  <si>
    <t>Synthetic Title 584</t>
  </si>
  <si>
    <t>Viola Davis, Brad Pitt, Leonardo Dicaprio</t>
  </si>
  <si>
    <t>S585</t>
  </si>
  <si>
    <t>Synthetic Title 585</t>
  </si>
  <si>
    <t>S586</t>
  </si>
  <si>
    <t>Synthetic Title 586</t>
  </si>
  <si>
    <t>S587</t>
  </si>
  <si>
    <t>Synthetic Title 587</t>
  </si>
  <si>
    <t>S588</t>
  </si>
  <si>
    <t>Synthetic Title 588</t>
  </si>
  <si>
    <t>S589</t>
  </si>
  <si>
    <t>Synthetic Title 589</t>
  </si>
  <si>
    <t>S590</t>
  </si>
  <si>
    <t>Synthetic Title 590</t>
  </si>
  <si>
    <t>S591</t>
  </si>
  <si>
    <t>Synthetic Title 591</t>
  </si>
  <si>
    <t>S592</t>
  </si>
  <si>
    <t>Synthetic Title 592</t>
  </si>
  <si>
    <t>S593</t>
  </si>
  <si>
    <t>Synthetic Title 593</t>
  </si>
  <si>
    <t>S594</t>
  </si>
  <si>
    <t>Synthetic Title 594</t>
  </si>
  <si>
    <t>Zendaya, Leonardo Dicaprio</t>
  </si>
  <si>
    <t>S595</t>
  </si>
  <si>
    <t>Synthetic Title 595</t>
  </si>
  <si>
    <t>S596</t>
  </si>
  <si>
    <t>Synthetic Title 596</t>
  </si>
  <si>
    <t>Brad Pitt, Zendaya, Viola Davis</t>
  </si>
  <si>
    <t>S597</t>
  </si>
  <si>
    <t>Synthetic Title 597</t>
  </si>
  <si>
    <t>S598</t>
  </si>
  <si>
    <t>Synthetic Title 598</t>
  </si>
  <si>
    <t>S599</t>
  </si>
  <si>
    <t>Synthetic Title 599</t>
  </si>
  <si>
    <t>S600</t>
  </si>
  <si>
    <t>Synthetic Title 600</t>
  </si>
  <si>
    <t>S601</t>
  </si>
  <si>
    <t>Synthetic Title 601</t>
  </si>
  <si>
    <t>S602</t>
  </si>
  <si>
    <t>Synthetic Title 602</t>
  </si>
  <si>
    <t>Brad Pitt, Tom Hanks, Scarlett Johansson</t>
  </si>
  <si>
    <t>S603</t>
  </si>
  <si>
    <t>Synthetic Title 603</t>
  </si>
  <si>
    <t>S604</t>
  </si>
  <si>
    <t>Synthetic Title 604</t>
  </si>
  <si>
    <t>S605</t>
  </si>
  <si>
    <t>Synthetic Title 605</t>
  </si>
  <si>
    <t>S606</t>
  </si>
  <si>
    <t>Synthetic Title 606</t>
  </si>
  <si>
    <t>S607</t>
  </si>
  <si>
    <t>Synthetic Title 607</t>
  </si>
  <si>
    <t>Zendaya, Tom Hanks, Morgan Freeman</t>
  </si>
  <si>
    <t>S608</t>
  </si>
  <si>
    <t>Synthetic Title 608</t>
  </si>
  <si>
    <t>Brad Pitt, Morgan Freeman, Leonardo Dicaprio</t>
  </si>
  <si>
    <t>S609</t>
  </si>
  <si>
    <t>Synthetic Title 609</t>
  </si>
  <si>
    <t>S610</t>
  </si>
  <si>
    <t>Synthetic Title 610</t>
  </si>
  <si>
    <t>Zendaya, Leonardo Dicaprio, Morgan Freeman</t>
  </si>
  <si>
    <t>S611</t>
  </si>
  <si>
    <t>Synthetic Title 611</t>
  </si>
  <si>
    <t>Zendaya, Scarlett Johansson, Morgan Freeman</t>
  </si>
  <si>
    <t>S612</t>
  </si>
  <si>
    <t>Synthetic Title 612</t>
  </si>
  <si>
    <t>Viola Davis, Zendaya, Morgan Freeman</t>
  </si>
  <si>
    <t>S613</t>
  </si>
  <si>
    <t>Synthetic Title 613</t>
  </si>
  <si>
    <t>S614</t>
  </si>
  <si>
    <t>Synthetic Title 614</t>
  </si>
  <si>
    <t>S615</t>
  </si>
  <si>
    <t>Synthetic Title 615</t>
  </si>
  <si>
    <t>S616</t>
  </si>
  <si>
    <t>Synthetic Title 616</t>
  </si>
  <si>
    <t>S617</t>
  </si>
  <si>
    <t>Synthetic Title 617</t>
  </si>
  <si>
    <t>S618</t>
  </si>
  <si>
    <t>Synthetic Title 618</t>
  </si>
  <si>
    <t>S619</t>
  </si>
  <si>
    <t>Synthetic Title 619</t>
  </si>
  <si>
    <t>S620</t>
  </si>
  <si>
    <t>Synthetic Title 620</t>
  </si>
  <si>
    <t>Leonardo Dicaprio, Brad Pitt, Scarlett Johansson</t>
  </si>
  <si>
    <t>S621</t>
  </si>
  <si>
    <t>Synthetic Title 621</t>
  </si>
  <si>
    <t>S622</t>
  </si>
  <si>
    <t>Synthetic Title 622</t>
  </si>
  <si>
    <t>S623</t>
  </si>
  <si>
    <t>Synthetic Title 623</t>
  </si>
  <si>
    <t>S624</t>
  </si>
  <si>
    <t>Synthetic Title 624</t>
  </si>
  <si>
    <t>S625</t>
  </si>
  <si>
    <t>Synthetic Title 625</t>
  </si>
  <si>
    <t>S626</t>
  </si>
  <si>
    <t>Synthetic Title 626</t>
  </si>
  <si>
    <t>S627</t>
  </si>
  <si>
    <t>Synthetic Title 627</t>
  </si>
  <si>
    <t>Leonardo Dicaprio, Brad Pitt, Zendaya</t>
  </si>
  <si>
    <t>S628</t>
  </si>
  <si>
    <t>Synthetic Title 628</t>
  </si>
  <si>
    <t>S629</t>
  </si>
  <si>
    <t>Synthetic Title 629</t>
  </si>
  <si>
    <t>S630</t>
  </si>
  <si>
    <t>Synthetic Title 630</t>
  </si>
  <si>
    <t>S631</t>
  </si>
  <si>
    <t>Synthetic Title 631</t>
  </si>
  <si>
    <t>S632</t>
  </si>
  <si>
    <t>Synthetic Title 632</t>
  </si>
  <si>
    <t>S633</t>
  </si>
  <si>
    <t>Synthetic Title 633</t>
  </si>
  <si>
    <t>S634</t>
  </si>
  <si>
    <t>Synthetic Title 634</t>
  </si>
  <si>
    <t>S635</t>
  </si>
  <si>
    <t>Synthetic Title 635</t>
  </si>
  <si>
    <t>S636</t>
  </si>
  <si>
    <t>Synthetic Title 636</t>
  </si>
  <si>
    <t>S637</t>
  </si>
  <si>
    <t>Synthetic Title 637</t>
  </si>
  <si>
    <t>Brad Pitt, Viola Davis, Scarlett Johansson</t>
  </si>
  <si>
    <t>S638</t>
  </si>
  <si>
    <t>Synthetic Title 638</t>
  </si>
  <si>
    <t>S639</t>
  </si>
  <si>
    <t>Synthetic Title 639</t>
  </si>
  <si>
    <t>S640</t>
  </si>
  <si>
    <t>Synthetic Title 640</t>
  </si>
  <si>
    <t>S641</t>
  </si>
  <si>
    <t>Synthetic Title 641</t>
  </si>
  <si>
    <t>S642</t>
  </si>
  <si>
    <t>Synthetic Title 642</t>
  </si>
  <si>
    <t>S643</t>
  </si>
  <si>
    <t>Synthetic Title 643</t>
  </si>
  <si>
    <t>S644</t>
  </si>
  <si>
    <t>Synthetic Title 644</t>
  </si>
  <si>
    <t>S645</t>
  </si>
  <si>
    <t>Synthetic Title 645</t>
  </si>
  <si>
    <t>Morgan Freeman, Zendaya, Tom Hanks</t>
  </si>
  <si>
    <t>S646</t>
  </si>
  <si>
    <t>Synthetic Title 646</t>
  </si>
  <si>
    <t>S647</t>
  </si>
  <si>
    <t>Synthetic Title 647</t>
  </si>
  <si>
    <t>S648</t>
  </si>
  <si>
    <t>Synthetic Title 648</t>
  </si>
  <si>
    <t>S649</t>
  </si>
  <si>
    <t>Synthetic Title 649</t>
  </si>
  <si>
    <t>S650</t>
  </si>
  <si>
    <t>Synthetic Title 650</t>
  </si>
  <si>
    <t>S651</t>
  </si>
  <si>
    <t>Synthetic Title 651</t>
  </si>
  <si>
    <t>S652</t>
  </si>
  <si>
    <t>Synthetic Title 652</t>
  </si>
  <si>
    <t>S653</t>
  </si>
  <si>
    <t>Synthetic Title 653</t>
  </si>
  <si>
    <t>S654</t>
  </si>
  <si>
    <t>Synthetic Title 654</t>
  </si>
  <si>
    <t>S655</t>
  </si>
  <si>
    <t>Synthetic Title 655</t>
  </si>
  <si>
    <t>S656</t>
  </si>
  <si>
    <t>Synthetic Title 656</t>
  </si>
  <si>
    <t>S657</t>
  </si>
  <si>
    <t>Synthetic Title 657</t>
  </si>
  <si>
    <t>S658</t>
  </si>
  <si>
    <t>Synthetic Title 658</t>
  </si>
  <si>
    <t>S659</t>
  </si>
  <si>
    <t>Synthetic Title 659</t>
  </si>
  <si>
    <t>S660</t>
  </si>
  <si>
    <t>Synthetic Title 660</t>
  </si>
  <si>
    <t>S661</t>
  </si>
  <si>
    <t>Synthetic Title 661</t>
  </si>
  <si>
    <t>S662</t>
  </si>
  <si>
    <t>Synthetic Title 662</t>
  </si>
  <si>
    <t>S663</t>
  </si>
  <si>
    <t>Synthetic Title 663</t>
  </si>
  <si>
    <t>Leonardo Dicaprio, Tom Hanks, Brad Pitt</t>
  </si>
  <si>
    <t>S664</t>
  </si>
  <si>
    <t>Synthetic Title 664</t>
  </si>
  <si>
    <t>S665</t>
  </si>
  <si>
    <t>Synthetic Title 665</t>
  </si>
  <si>
    <t>S666</t>
  </si>
  <si>
    <t>Synthetic Title 666</t>
  </si>
  <si>
    <t>S667</t>
  </si>
  <si>
    <t>Synthetic Title 667</t>
  </si>
  <si>
    <t>S668</t>
  </si>
  <si>
    <t>Synthetic Title 668</t>
  </si>
  <si>
    <t>Tom Hanks, Zendaya</t>
  </si>
  <si>
    <t>S669</t>
  </si>
  <si>
    <t>Synthetic Title 669</t>
  </si>
  <si>
    <t>Scarlett Johansson, Viola Davis, Tom Hanks</t>
  </si>
  <si>
    <t>S670</t>
  </si>
  <si>
    <t>Synthetic Title 670</t>
  </si>
  <si>
    <t>S671</t>
  </si>
  <si>
    <t>Synthetic Title 671</t>
  </si>
  <si>
    <t>Leonardo Dicaprio, Morgan Freeman</t>
  </si>
  <si>
    <t>S672</t>
  </si>
  <si>
    <t>Synthetic Title 672</t>
  </si>
  <si>
    <t>S673</t>
  </si>
  <si>
    <t>Synthetic Title 673</t>
  </si>
  <si>
    <t>S674</t>
  </si>
  <si>
    <t>Synthetic Title 674</t>
  </si>
  <si>
    <t>S675</t>
  </si>
  <si>
    <t>Synthetic Title 675</t>
  </si>
  <si>
    <t>S676</t>
  </si>
  <si>
    <t>Synthetic Title 676</t>
  </si>
  <si>
    <t>S677</t>
  </si>
  <si>
    <t>Synthetic Title 677</t>
  </si>
  <si>
    <t>S678</t>
  </si>
  <si>
    <t>Synthetic Title 678</t>
  </si>
  <si>
    <t>S679</t>
  </si>
  <si>
    <t>Synthetic Title 679</t>
  </si>
  <si>
    <t>S680</t>
  </si>
  <si>
    <t>Synthetic Title 680</t>
  </si>
  <si>
    <t>S681</t>
  </si>
  <si>
    <t>Synthetic Title 681</t>
  </si>
  <si>
    <t>S682</t>
  </si>
  <si>
    <t>Synthetic Title 682</t>
  </si>
  <si>
    <t>S683</t>
  </si>
  <si>
    <t>Synthetic Title 683</t>
  </si>
  <si>
    <t>S684</t>
  </si>
  <si>
    <t>Synthetic Title 684</t>
  </si>
  <si>
    <t>S685</t>
  </si>
  <si>
    <t>Synthetic Title 685</t>
  </si>
  <si>
    <t>Tom Hanks, Zendaya, Leonardo Dicaprio</t>
  </si>
  <si>
    <t>S686</t>
  </si>
  <si>
    <t>Synthetic Title 686</t>
  </si>
  <si>
    <t>S687</t>
  </si>
  <si>
    <t>Synthetic Title 687</t>
  </si>
  <si>
    <t>S688</t>
  </si>
  <si>
    <t>Synthetic Title 688</t>
  </si>
  <si>
    <t>S689</t>
  </si>
  <si>
    <t>Synthetic Title 689</t>
  </si>
  <si>
    <t>S690</t>
  </si>
  <si>
    <t>Synthetic Title 690</t>
  </si>
  <si>
    <t>S691</t>
  </si>
  <si>
    <t>Synthetic Title 691</t>
  </si>
  <si>
    <t>S692</t>
  </si>
  <si>
    <t>Synthetic Title 692</t>
  </si>
  <si>
    <t>S693</t>
  </si>
  <si>
    <t>Synthetic Title 693</t>
  </si>
  <si>
    <t>Zendaya, Scarlett Johansson, Tom Hanks</t>
  </si>
  <si>
    <t>S694</t>
  </si>
  <si>
    <t>Synthetic Title 694</t>
  </si>
  <si>
    <t>S695</t>
  </si>
  <si>
    <t>Synthetic Title 695</t>
  </si>
  <si>
    <t>S696</t>
  </si>
  <si>
    <t>Synthetic Title 696</t>
  </si>
  <si>
    <t>S697</t>
  </si>
  <si>
    <t>Synthetic Title 697</t>
  </si>
  <si>
    <t>S698</t>
  </si>
  <si>
    <t>Synthetic Title 698</t>
  </si>
  <si>
    <t>S699</t>
  </si>
  <si>
    <t>Synthetic Title 699</t>
  </si>
  <si>
    <t>Brad Pitt, Morgan Freeman, Zendaya</t>
  </si>
  <si>
    <t>S700</t>
  </si>
  <si>
    <t>Synthetic Title 700</t>
  </si>
  <si>
    <t>S701</t>
  </si>
  <si>
    <t>Synthetic Title 701</t>
  </si>
  <si>
    <t>S702</t>
  </si>
  <si>
    <t>Synthetic Title 702</t>
  </si>
  <si>
    <t>S703</t>
  </si>
  <si>
    <t>Synthetic Title 703</t>
  </si>
  <si>
    <t>S704</t>
  </si>
  <si>
    <t>Synthetic Title 704</t>
  </si>
  <si>
    <t>S705</t>
  </si>
  <si>
    <t>Synthetic Title 705</t>
  </si>
  <si>
    <t>S706</t>
  </si>
  <si>
    <t>Synthetic Title 706</t>
  </si>
  <si>
    <t>S707</t>
  </si>
  <si>
    <t>Synthetic Title 707</t>
  </si>
  <si>
    <t>S708</t>
  </si>
  <si>
    <t>Synthetic Title 708</t>
  </si>
  <si>
    <t>S709</t>
  </si>
  <si>
    <t>Synthetic Title 709</t>
  </si>
  <si>
    <t>S710</t>
  </si>
  <si>
    <t>Synthetic Title 710</t>
  </si>
  <si>
    <t>S711</t>
  </si>
  <si>
    <t>Synthetic Title 711</t>
  </si>
  <si>
    <t>S712</t>
  </si>
  <si>
    <t>Synthetic Title 712</t>
  </si>
  <si>
    <t>S713</t>
  </si>
  <si>
    <t>Synthetic Title 713</t>
  </si>
  <si>
    <t>S714</t>
  </si>
  <si>
    <t>Synthetic Title 714</t>
  </si>
  <si>
    <t>S715</t>
  </si>
  <si>
    <t>Synthetic Title 715</t>
  </si>
  <si>
    <t>S716</t>
  </si>
  <si>
    <t>Synthetic Title 716</t>
  </si>
  <si>
    <t>S717</t>
  </si>
  <si>
    <t>Synthetic Title 717</t>
  </si>
  <si>
    <t>S718</t>
  </si>
  <si>
    <t>Synthetic Title 718</t>
  </si>
  <si>
    <t>S719</t>
  </si>
  <si>
    <t>Synthetic Title 719</t>
  </si>
  <si>
    <t>Scarlett Johansson, Viola Davis, Zendaya</t>
  </si>
  <si>
    <t>S720</t>
  </si>
  <si>
    <t>Synthetic Title 720</t>
  </si>
  <si>
    <t>S721</t>
  </si>
  <si>
    <t>Synthetic Title 721</t>
  </si>
  <si>
    <t>S722</t>
  </si>
  <si>
    <t>Synthetic Title 722</t>
  </si>
  <si>
    <t>Viola Davis, Leonardo Dicaprio, Zendaya</t>
  </si>
  <si>
    <t>S723</t>
  </si>
  <si>
    <t>Synthetic Title 723</t>
  </si>
  <si>
    <t>S724</t>
  </si>
  <si>
    <t>Synthetic Title 724</t>
  </si>
  <si>
    <t>S725</t>
  </si>
  <si>
    <t>Synthetic Title 725</t>
  </si>
  <si>
    <t>S726</t>
  </si>
  <si>
    <t>Synthetic Title 726</t>
  </si>
  <si>
    <t>S727</t>
  </si>
  <si>
    <t>Synthetic Title 727</t>
  </si>
  <si>
    <t>S728</t>
  </si>
  <si>
    <t>Synthetic Title 728</t>
  </si>
  <si>
    <t>S729</t>
  </si>
  <si>
    <t>Synthetic Title 729</t>
  </si>
  <si>
    <t>S730</t>
  </si>
  <si>
    <t>Synthetic Title 730</t>
  </si>
  <si>
    <t>S731</t>
  </si>
  <si>
    <t>Synthetic Title 731</t>
  </si>
  <si>
    <t>S732</t>
  </si>
  <si>
    <t>Synthetic Title 732</t>
  </si>
  <si>
    <t>S733</t>
  </si>
  <si>
    <t>Synthetic Title 733</t>
  </si>
  <si>
    <t>S734</t>
  </si>
  <si>
    <t>Synthetic Title 734</t>
  </si>
  <si>
    <t>S735</t>
  </si>
  <si>
    <t>Synthetic Title 735</t>
  </si>
  <si>
    <t>S736</t>
  </si>
  <si>
    <t>Synthetic Title 736</t>
  </si>
  <si>
    <t>S737</t>
  </si>
  <si>
    <t>Synthetic Title 737</t>
  </si>
  <si>
    <t>S738</t>
  </si>
  <si>
    <t>Synthetic Title 738</t>
  </si>
  <si>
    <t>Zendaya, Leonardo Dicaprio, Scarlett Johansson</t>
  </si>
  <si>
    <t>S739</t>
  </si>
  <si>
    <t>Synthetic Title 739</t>
  </si>
  <si>
    <t>S740</t>
  </si>
  <si>
    <t>Synthetic Title 740</t>
  </si>
  <si>
    <t>S741</t>
  </si>
  <si>
    <t>Synthetic Title 741</t>
  </si>
  <si>
    <t>S742</t>
  </si>
  <si>
    <t>Synthetic Title 742</t>
  </si>
  <si>
    <t>S743</t>
  </si>
  <si>
    <t>Synthetic Title 743</t>
  </si>
  <si>
    <t>S744</t>
  </si>
  <si>
    <t>Synthetic Title 744</t>
  </si>
  <si>
    <t>S745</t>
  </si>
  <si>
    <t>Synthetic Title 745</t>
  </si>
  <si>
    <t>S746</t>
  </si>
  <si>
    <t>Synthetic Title 746</t>
  </si>
  <si>
    <t>S747</t>
  </si>
  <si>
    <t>Synthetic Title 747</t>
  </si>
  <si>
    <t>S748</t>
  </si>
  <si>
    <t>Synthetic Title 748</t>
  </si>
  <si>
    <t>S749</t>
  </si>
  <si>
    <t>Synthetic Title 749</t>
  </si>
  <si>
    <t>S750</t>
  </si>
  <si>
    <t>Synthetic Title 750</t>
  </si>
  <si>
    <t>S751</t>
  </si>
  <si>
    <t>Synthetic Title 751</t>
  </si>
  <si>
    <t>Brad Pitt, Scarlett Johansson, Zendaya</t>
  </si>
  <si>
    <t>S752</t>
  </si>
  <si>
    <t>Synthetic Title 752</t>
  </si>
  <si>
    <t>S753</t>
  </si>
  <si>
    <t>Synthetic Title 753</t>
  </si>
  <si>
    <t>S754</t>
  </si>
  <si>
    <t>Synthetic Title 754</t>
  </si>
  <si>
    <t>S755</t>
  </si>
  <si>
    <t>Synthetic Title 755</t>
  </si>
  <si>
    <t>S756</t>
  </si>
  <si>
    <t>Synthetic Title 756</t>
  </si>
  <si>
    <t>Tom Hanks, Zendaya, Viola Davis</t>
  </si>
  <si>
    <t>S757</t>
  </si>
  <si>
    <t>Synthetic Title 757</t>
  </si>
  <si>
    <t>S758</t>
  </si>
  <si>
    <t>Synthetic Title 758</t>
  </si>
  <si>
    <t>S759</t>
  </si>
  <si>
    <t>Synthetic Title 759</t>
  </si>
  <si>
    <t>S760</t>
  </si>
  <si>
    <t>Synthetic Title 760</t>
  </si>
  <si>
    <t>S761</t>
  </si>
  <si>
    <t>Synthetic Title 761</t>
  </si>
  <si>
    <t>Scarlett Johansson, Morgan Freeman, Zendaya</t>
  </si>
  <si>
    <t>S762</t>
  </si>
  <si>
    <t>Synthetic Title 762</t>
  </si>
  <si>
    <t>Brad Pitt, Tom Hanks, Zendaya</t>
  </si>
  <si>
    <t>S763</t>
  </si>
  <si>
    <t>Synthetic Title 763</t>
  </si>
  <si>
    <t>S764</t>
  </si>
  <si>
    <t>Synthetic Title 764</t>
  </si>
  <si>
    <t>S765</t>
  </si>
  <si>
    <t>Synthetic Title 765</t>
  </si>
  <si>
    <t>S766</t>
  </si>
  <si>
    <t>Synthetic Title 766</t>
  </si>
  <si>
    <t>S767</t>
  </si>
  <si>
    <t>Synthetic Title 767</t>
  </si>
  <si>
    <t>S768</t>
  </si>
  <si>
    <t>Synthetic Title 768</t>
  </si>
  <si>
    <t>S769</t>
  </si>
  <si>
    <t>Synthetic Title 769</t>
  </si>
  <si>
    <t>S770</t>
  </si>
  <si>
    <t>Synthetic Title 770</t>
  </si>
  <si>
    <t>S771</t>
  </si>
  <si>
    <t>Synthetic Title 771</t>
  </si>
  <si>
    <t>S772</t>
  </si>
  <si>
    <t>Synthetic Title 772</t>
  </si>
  <si>
    <t>S773</t>
  </si>
  <si>
    <t>Synthetic Title 773</t>
  </si>
  <si>
    <t>Morgan Freeman, Tom Hanks, Scarlett Johansson</t>
  </si>
  <si>
    <t>S774</t>
  </si>
  <si>
    <t>Synthetic Title 774</t>
  </si>
  <si>
    <t>S775</t>
  </si>
  <si>
    <t>Synthetic Title 775</t>
  </si>
  <si>
    <t>S776</t>
  </si>
  <si>
    <t>Synthetic Title 776</t>
  </si>
  <si>
    <t>S777</t>
  </si>
  <si>
    <t>Synthetic Title 777</t>
  </si>
  <si>
    <t>Viola Davis, Tom Hanks, Zendaya</t>
  </si>
  <si>
    <t>S778</t>
  </si>
  <si>
    <t>Synthetic Title 778</t>
  </si>
  <si>
    <t>S779</t>
  </si>
  <si>
    <t>Synthetic Title 779</t>
  </si>
  <si>
    <t>S780</t>
  </si>
  <si>
    <t>Synthetic Title 780</t>
  </si>
  <si>
    <t>S781</t>
  </si>
  <si>
    <t>Synthetic Title 781</t>
  </si>
  <si>
    <t>S782</t>
  </si>
  <si>
    <t>Synthetic Title 782</t>
  </si>
  <si>
    <t>S783</t>
  </si>
  <si>
    <t>Synthetic Title 783</t>
  </si>
  <si>
    <t>Brad Pitt, Scarlett Johansson, Tom Hanks</t>
  </si>
  <si>
    <t>S784</t>
  </si>
  <si>
    <t>Synthetic Title 784</t>
  </si>
  <si>
    <t>S785</t>
  </si>
  <si>
    <t>Synthetic Title 785</t>
  </si>
  <si>
    <t>S786</t>
  </si>
  <si>
    <t>Synthetic Title 786</t>
  </si>
  <si>
    <t>S787</t>
  </si>
  <si>
    <t>Synthetic Title 787</t>
  </si>
  <si>
    <t>S788</t>
  </si>
  <si>
    <t>Synthetic Title 788</t>
  </si>
  <si>
    <t>S789</t>
  </si>
  <si>
    <t>Synthetic Title 789</t>
  </si>
  <si>
    <t>S790</t>
  </si>
  <si>
    <t>Synthetic Title 790</t>
  </si>
  <si>
    <t>S791</t>
  </si>
  <si>
    <t>Synthetic Title 791</t>
  </si>
  <si>
    <t>Morgan Freeman, Brad Pitt, Zendaya</t>
  </si>
  <si>
    <t>S792</t>
  </si>
  <si>
    <t>Synthetic Title 792</t>
  </si>
  <si>
    <t>S793</t>
  </si>
  <si>
    <t>Synthetic Title 793</t>
  </si>
  <si>
    <t>S794</t>
  </si>
  <si>
    <t>Synthetic Title 794</t>
  </si>
  <si>
    <t>S795</t>
  </si>
  <si>
    <t>Synthetic Title 795</t>
  </si>
  <si>
    <t>S796</t>
  </si>
  <si>
    <t>Synthetic Title 796</t>
  </si>
  <si>
    <t>S797</t>
  </si>
  <si>
    <t>Synthetic Title 797</t>
  </si>
  <si>
    <t>S798</t>
  </si>
  <si>
    <t>Synthetic Title 798</t>
  </si>
  <si>
    <t>S799</t>
  </si>
  <si>
    <t>Synthetic Title 799</t>
  </si>
  <si>
    <t>S800</t>
  </si>
  <si>
    <t>Synthetic Title 800</t>
  </si>
  <si>
    <t>S801</t>
  </si>
  <si>
    <t>Synthetic Title 801</t>
  </si>
  <si>
    <t>S802</t>
  </si>
  <si>
    <t>Synthetic Title 802</t>
  </si>
  <si>
    <t>S803</t>
  </si>
  <si>
    <t>Synthetic Title 803</t>
  </si>
  <si>
    <t>S804</t>
  </si>
  <si>
    <t>Synthetic Title 804</t>
  </si>
  <si>
    <t>S805</t>
  </si>
  <si>
    <t>Synthetic Title 805</t>
  </si>
  <si>
    <t>Viola Davis, Tom Hanks, Leonardo Dicaprio</t>
  </si>
  <si>
    <t>S806</t>
  </si>
  <si>
    <t>Synthetic Title 806</t>
  </si>
  <si>
    <t>S807</t>
  </si>
  <si>
    <t>Synthetic Title 807</t>
  </si>
  <si>
    <t>S808</t>
  </si>
  <si>
    <t>Synthetic Title 808</t>
  </si>
  <si>
    <t>Morgan Freeman, Leonardo Dicaprio, Brad Pitt</t>
  </si>
  <si>
    <t>S809</t>
  </si>
  <si>
    <t>Synthetic Title 809</t>
  </si>
  <si>
    <t>S810</t>
  </si>
  <si>
    <t>Synthetic Title 810</t>
  </si>
  <si>
    <t>Zendaya, Morgan Freeman, Brad Pitt</t>
  </si>
  <si>
    <t>S811</t>
  </si>
  <si>
    <t>Synthetic Title 811</t>
  </si>
  <si>
    <t>S812</t>
  </si>
  <si>
    <t>Synthetic Title 812</t>
  </si>
  <si>
    <t>S813</t>
  </si>
  <si>
    <t>Synthetic Title 813</t>
  </si>
  <si>
    <t>S814</t>
  </si>
  <si>
    <t>Synthetic Title 814</t>
  </si>
  <si>
    <t>S815</t>
  </si>
  <si>
    <t>Synthetic Title 815</t>
  </si>
  <si>
    <t>S816</t>
  </si>
  <si>
    <t>Synthetic Title 816</t>
  </si>
  <si>
    <t>S817</t>
  </si>
  <si>
    <t>Synthetic Title 817</t>
  </si>
  <si>
    <t>S818</t>
  </si>
  <si>
    <t>Synthetic Title 818</t>
  </si>
  <si>
    <t>S819</t>
  </si>
  <si>
    <t>Synthetic Title 819</t>
  </si>
  <si>
    <t>S820</t>
  </si>
  <si>
    <t>Synthetic Title 820</t>
  </si>
  <si>
    <t>Scarlett Johansson, Zendaya, Viola Davis</t>
  </si>
  <si>
    <t>S821</t>
  </si>
  <si>
    <t>Synthetic Title 821</t>
  </si>
  <si>
    <t>S822</t>
  </si>
  <si>
    <t>Synthetic Title 822</t>
  </si>
  <si>
    <t>S823</t>
  </si>
  <si>
    <t>Synthetic Title 823</t>
  </si>
  <si>
    <t>S824</t>
  </si>
  <si>
    <t>Synthetic Title 824</t>
  </si>
  <si>
    <t>S825</t>
  </si>
  <si>
    <t>Synthetic Title 825</t>
  </si>
  <si>
    <t>Tom Hanks, Leonardo Dicaprio, Scarlett Johansson</t>
  </si>
  <si>
    <t>S826</t>
  </si>
  <si>
    <t>Synthetic Title 826</t>
  </si>
  <si>
    <t>S827</t>
  </si>
  <si>
    <t>Synthetic Title 827</t>
  </si>
  <si>
    <t>S828</t>
  </si>
  <si>
    <t>Synthetic Title 828</t>
  </si>
  <si>
    <t>S829</t>
  </si>
  <si>
    <t>Synthetic Title 829</t>
  </si>
  <si>
    <t>S830</t>
  </si>
  <si>
    <t>Synthetic Title 830</t>
  </si>
  <si>
    <t>S831</t>
  </si>
  <si>
    <t>Synthetic Title 831</t>
  </si>
  <si>
    <t>S832</t>
  </si>
  <si>
    <t>Synthetic Title 832</t>
  </si>
  <si>
    <t>S833</t>
  </si>
  <si>
    <t>Synthetic Title 833</t>
  </si>
  <si>
    <t>Morgan Freeman, Scarlett Johansson, Brad Pitt</t>
  </si>
  <si>
    <t>S834</t>
  </si>
  <si>
    <t>Synthetic Title 834</t>
  </si>
  <si>
    <t>S835</t>
  </si>
  <si>
    <t>Synthetic Title 835</t>
  </si>
  <si>
    <t>S836</t>
  </si>
  <si>
    <t>Synthetic Title 836</t>
  </si>
  <si>
    <t>S837</t>
  </si>
  <si>
    <t>Synthetic Title 837</t>
  </si>
  <si>
    <t>S838</t>
  </si>
  <si>
    <t>Synthetic Title 838</t>
  </si>
  <si>
    <t>S839</t>
  </si>
  <si>
    <t>Synthetic Title 839</t>
  </si>
  <si>
    <t>S840</t>
  </si>
  <si>
    <t>Synthetic Title 840</t>
  </si>
  <si>
    <t>S841</t>
  </si>
  <si>
    <t>Synthetic Title 841</t>
  </si>
  <si>
    <t>S842</t>
  </si>
  <si>
    <t>Synthetic Title 842</t>
  </si>
  <si>
    <t>S843</t>
  </si>
  <si>
    <t>Synthetic Title 843</t>
  </si>
  <si>
    <t>S844</t>
  </si>
  <si>
    <t>Synthetic Title 844</t>
  </si>
  <si>
    <t>S845</t>
  </si>
  <si>
    <t>Synthetic Title 845</t>
  </si>
  <si>
    <t>S846</t>
  </si>
  <si>
    <t>Synthetic Title 846</t>
  </si>
  <si>
    <t>S847</t>
  </si>
  <si>
    <t>Synthetic Title 847</t>
  </si>
  <si>
    <t>S848</t>
  </si>
  <si>
    <t>Synthetic Title 848</t>
  </si>
  <si>
    <t>S849</t>
  </si>
  <si>
    <t>Synthetic Title 849</t>
  </si>
  <si>
    <t>S850</t>
  </si>
  <si>
    <t>Synthetic Title 850</t>
  </si>
  <si>
    <t>S851</t>
  </si>
  <si>
    <t>Synthetic Title 851</t>
  </si>
  <si>
    <t>S852</t>
  </si>
  <si>
    <t>Synthetic Title 852</t>
  </si>
  <si>
    <t>S853</t>
  </si>
  <si>
    <t>Synthetic Title 853</t>
  </si>
  <si>
    <t>S854</t>
  </si>
  <si>
    <t>Synthetic Title 854</t>
  </si>
  <si>
    <t>S855</t>
  </si>
  <si>
    <t>Synthetic Title 855</t>
  </si>
  <si>
    <t>S856</t>
  </si>
  <si>
    <t>Synthetic Title 856</t>
  </si>
  <si>
    <t>S857</t>
  </si>
  <si>
    <t>Synthetic Title 857</t>
  </si>
  <si>
    <t>S858</t>
  </si>
  <si>
    <t>Synthetic Title 858</t>
  </si>
  <si>
    <t>S859</t>
  </si>
  <si>
    <t>Synthetic Title 859</t>
  </si>
  <si>
    <t>S860</t>
  </si>
  <si>
    <t>Synthetic Title 860</t>
  </si>
  <si>
    <t>S861</t>
  </si>
  <si>
    <t>Synthetic Title 861</t>
  </si>
  <si>
    <t>S862</t>
  </si>
  <si>
    <t>Synthetic Title 862</t>
  </si>
  <si>
    <t>Scarlett Johansson, Zendaya, Tom Hanks</t>
  </si>
  <si>
    <t>S863</t>
  </si>
  <si>
    <t>Synthetic Title 863</t>
  </si>
  <si>
    <t>S864</t>
  </si>
  <si>
    <t>Synthetic Title 864</t>
  </si>
  <si>
    <t>S865</t>
  </si>
  <si>
    <t>Synthetic Title 865</t>
  </si>
  <si>
    <t>S866</t>
  </si>
  <si>
    <t>Synthetic Title 866</t>
  </si>
  <si>
    <t>S867</t>
  </si>
  <si>
    <t>Synthetic Title 867</t>
  </si>
  <si>
    <t>S868</t>
  </si>
  <si>
    <t>Synthetic Title 868</t>
  </si>
  <si>
    <t>S869</t>
  </si>
  <si>
    <t>Synthetic Title 869</t>
  </si>
  <si>
    <t>S870</t>
  </si>
  <si>
    <t>Synthetic Title 870</t>
  </si>
  <si>
    <t>S871</t>
  </si>
  <si>
    <t>Synthetic Title 871</t>
  </si>
  <si>
    <t>S872</t>
  </si>
  <si>
    <t>Synthetic Title 872</t>
  </si>
  <si>
    <t>S873</t>
  </si>
  <si>
    <t>Synthetic Title 873</t>
  </si>
  <si>
    <t>S874</t>
  </si>
  <si>
    <t>Synthetic Title 874</t>
  </si>
  <si>
    <t>S875</t>
  </si>
  <si>
    <t>Synthetic Title 875</t>
  </si>
  <si>
    <t>S876</t>
  </si>
  <si>
    <t>Synthetic Title 876</t>
  </si>
  <si>
    <t>S877</t>
  </si>
  <si>
    <t>Synthetic Title 877</t>
  </si>
  <si>
    <t>S878</t>
  </si>
  <si>
    <t>Synthetic Title 878</t>
  </si>
  <si>
    <t>S879</t>
  </si>
  <si>
    <t>Synthetic Title 879</t>
  </si>
  <si>
    <t>S880</t>
  </si>
  <si>
    <t>Synthetic Title 880</t>
  </si>
  <si>
    <t>S881</t>
  </si>
  <si>
    <t>Synthetic Title 881</t>
  </si>
  <si>
    <t>S882</t>
  </si>
  <si>
    <t>Synthetic Title 882</t>
  </si>
  <si>
    <t>S883</t>
  </si>
  <si>
    <t>Synthetic Title 883</t>
  </si>
  <si>
    <t>S884</t>
  </si>
  <si>
    <t>Synthetic Title 884</t>
  </si>
  <si>
    <t>Leonardo Dicaprio, Tom Hanks, Scarlett Johansson</t>
  </si>
  <si>
    <t>S885</t>
  </si>
  <si>
    <t>Synthetic Title 885</t>
  </si>
  <si>
    <t>S886</t>
  </si>
  <si>
    <t>Synthetic Title 886</t>
  </si>
  <si>
    <t>S887</t>
  </si>
  <si>
    <t>Synthetic Title 887</t>
  </si>
  <si>
    <t>S888</t>
  </si>
  <si>
    <t>Synthetic Title 888</t>
  </si>
  <si>
    <t>S889</t>
  </si>
  <si>
    <t>Synthetic Title 889</t>
  </si>
  <si>
    <t>S890</t>
  </si>
  <si>
    <t>Synthetic Title 890</t>
  </si>
  <si>
    <t>Brad Pitt, Zendaya, Leonardo Dicaprio</t>
  </si>
  <si>
    <t>S891</t>
  </si>
  <si>
    <t>Synthetic Title 891</t>
  </si>
  <si>
    <t>S892</t>
  </si>
  <si>
    <t>Synthetic Title 892</t>
  </si>
  <si>
    <t>S893</t>
  </si>
  <si>
    <t>Synthetic Title 893</t>
  </si>
  <si>
    <t>S894</t>
  </si>
  <si>
    <t>Synthetic Title 894</t>
  </si>
  <si>
    <t>S895</t>
  </si>
  <si>
    <t>Synthetic Title 895</t>
  </si>
  <si>
    <t>S896</t>
  </si>
  <si>
    <t>Synthetic Title 896</t>
  </si>
  <si>
    <t>S897</t>
  </si>
  <si>
    <t>Synthetic Title 897</t>
  </si>
  <si>
    <t>S898</t>
  </si>
  <si>
    <t>Synthetic Title 898</t>
  </si>
  <si>
    <t>S899</t>
  </si>
  <si>
    <t>Synthetic Title 899</t>
  </si>
  <si>
    <t>S900</t>
  </si>
  <si>
    <t>Synthetic Title 900</t>
  </si>
  <si>
    <t>S901</t>
  </si>
  <si>
    <t>Synthetic Title 901</t>
  </si>
  <si>
    <t>S902</t>
  </si>
  <si>
    <t>Synthetic Title 902</t>
  </si>
  <si>
    <t>S903</t>
  </si>
  <si>
    <t>Synthetic Title 903</t>
  </si>
  <si>
    <t>S904</t>
  </si>
  <si>
    <t>Synthetic Title 904</t>
  </si>
  <si>
    <t>S905</t>
  </si>
  <si>
    <t>Synthetic Title 905</t>
  </si>
  <si>
    <t>S906</t>
  </si>
  <si>
    <t>Synthetic Title 906</t>
  </si>
  <si>
    <t>S907</t>
  </si>
  <si>
    <t>Synthetic Title 907</t>
  </si>
  <si>
    <t>S908</t>
  </si>
  <si>
    <t>Synthetic Title 908</t>
  </si>
  <si>
    <t>S909</t>
  </si>
  <si>
    <t>Synthetic Title 909</t>
  </si>
  <si>
    <t>S910</t>
  </si>
  <si>
    <t>Synthetic Title 910</t>
  </si>
  <si>
    <t>S911</t>
  </si>
  <si>
    <t>Synthetic Title 911</t>
  </si>
  <si>
    <t>S912</t>
  </si>
  <si>
    <t>Synthetic Title 912</t>
  </si>
  <si>
    <t>S913</t>
  </si>
  <si>
    <t>Synthetic Title 913</t>
  </si>
  <si>
    <t>S914</t>
  </si>
  <si>
    <t>Synthetic Title 914</t>
  </si>
  <si>
    <t>S915</t>
  </si>
  <si>
    <t>Synthetic Title 915</t>
  </si>
  <si>
    <t>Morgan Freeman, Brad Pitt, Tom Hanks</t>
  </si>
  <si>
    <t>S916</t>
  </si>
  <si>
    <t>Synthetic Title 916</t>
  </si>
  <si>
    <t>S917</t>
  </si>
  <si>
    <t>Synthetic Title 917</t>
  </si>
  <si>
    <t>S918</t>
  </si>
  <si>
    <t>Synthetic Title 918</t>
  </si>
  <si>
    <t>Leonardo Dicaprio, Morgan Freeman, Viola Davis</t>
  </si>
  <si>
    <t>S919</t>
  </si>
  <si>
    <t>Synthetic Title 919</t>
  </si>
  <si>
    <t>S920</t>
  </si>
  <si>
    <t>Synthetic Title 920</t>
  </si>
  <si>
    <t>S921</t>
  </si>
  <si>
    <t>Synthetic Title 921</t>
  </si>
  <si>
    <t>S922</t>
  </si>
  <si>
    <t>Synthetic Title 922</t>
  </si>
  <si>
    <t>S923</t>
  </si>
  <si>
    <t>Synthetic Title 923</t>
  </si>
  <si>
    <t>S924</t>
  </si>
  <si>
    <t>Synthetic Title 924</t>
  </si>
  <si>
    <t>S925</t>
  </si>
  <si>
    <t>Synthetic Title 925</t>
  </si>
  <si>
    <t>S926</t>
  </si>
  <si>
    <t>Synthetic Title 926</t>
  </si>
  <si>
    <t>S927</t>
  </si>
  <si>
    <t>Synthetic Title 927</t>
  </si>
  <si>
    <t>S928</t>
  </si>
  <si>
    <t>Synthetic Title 928</t>
  </si>
  <si>
    <t>S929</t>
  </si>
  <si>
    <t>Synthetic Title 929</t>
  </si>
  <si>
    <t>S930</t>
  </si>
  <si>
    <t>Synthetic Title 930</t>
  </si>
  <si>
    <t>S931</t>
  </si>
  <si>
    <t>Synthetic Title 931</t>
  </si>
  <si>
    <t>Zendaya, Brad Pitt, Morgan Freeman</t>
  </si>
  <si>
    <t>S932</t>
  </si>
  <si>
    <t>Synthetic Title 932</t>
  </si>
  <si>
    <t>S933</t>
  </si>
  <si>
    <t>Synthetic Title 933</t>
  </si>
  <si>
    <t>S934</t>
  </si>
  <si>
    <t>Synthetic Title 934</t>
  </si>
  <si>
    <t>S935</t>
  </si>
  <si>
    <t>Synthetic Title 935</t>
  </si>
  <si>
    <t>S936</t>
  </si>
  <si>
    <t>Synthetic Title 936</t>
  </si>
  <si>
    <t>S937</t>
  </si>
  <si>
    <t>Synthetic Title 937</t>
  </si>
  <si>
    <t>S938</t>
  </si>
  <si>
    <t>Synthetic Title 938</t>
  </si>
  <si>
    <t>S939</t>
  </si>
  <si>
    <t>Synthetic Title 939</t>
  </si>
  <si>
    <t>S940</t>
  </si>
  <si>
    <t>Synthetic Title 940</t>
  </si>
  <si>
    <t>S941</t>
  </si>
  <si>
    <t>Synthetic Title 941</t>
  </si>
  <si>
    <t>S942</t>
  </si>
  <si>
    <t>Synthetic Title 942</t>
  </si>
  <si>
    <t>S943</t>
  </si>
  <si>
    <t>Synthetic Title 943</t>
  </si>
  <si>
    <t>S944</t>
  </si>
  <si>
    <t>Synthetic Title 944</t>
  </si>
  <si>
    <t>S945</t>
  </si>
  <si>
    <t>Synthetic Title 945</t>
  </si>
  <si>
    <t>S946</t>
  </si>
  <si>
    <t>Synthetic Title 946</t>
  </si>
  <si>
    <t>S947</t>
  </si>
  <si>
    <t>Synthetic Title 947</t>
  </si>
  <si>
    <t>S948</t>
  </si>
  <si>
    <t>Synthetic Title 948</t>
  </si>
  <si>
    <t>S949</t>
  </si>
  <si>
    <t>Synthetic Title 949</t>
  </si>
  <si>
    <t>S950</t>
  </si>
  <si>
    <t>Synthetic Title 950</t>
  </si>
  <si>
    <t>S951</t>
  </si>
  <si>
    <t>Synthetic Title 951</t>
  </si>
  <si>
    <t>S952</t>
  </si>
  <si>
    <t>Synthetic Title 952</t>
  </si>
  <si>
    <t>S953</t>
  </si>
  <si>
    <t>Synthetic Title 953</t>
  </si>
  <si>
    <t>Viola Davis, Brad Pitt, Zendaya</t>
  </si>
  <si>
    <t>S954</t>
  </si>
  <si>
    <t>Synthetic Title 954</t>
  </si>
  <si>
    <t>S955</t>
  </si>
  <si>
    <t>Synthetic Title 955</t>
  </si>
  <si>
    <t>S956</t>
  </si>
  <si>
    <t>Synthetic Title 956</t>
  </si>
  <si>
    <t>S957</t>
  </si>
  <si>
    <t>Synthetic Title 957</t>
  </si>
  <si>
    <t>S958</t>
  </si>
  <si>
    <t>Synthetic Title 958</t>
  </si>
  <si>
    <t>S959</t>
  </si>
  <si>
    <t>Synthetic Title 959</t>
  </si>
  <si>
    <t>S960</t>
  </si>
  <si>
    <t>Synthetic Title 960</t>
  </si>
  <si>
    <t>S961</t>
  </si>
  <si>
    <t>Synthetic Title 961</t>
  </si>
  <si>
    <t>S962</t>
  </si>
  <si>
    <t>Synthetic Title 962</t>
  </si>
  <si>
    <t>S963</t>
  </si>
  <si>
    <t>Synthetic Title 963</t>
  </si>
  <si>
    <t>Zendaya, Viola Davis, Leonardo Dicaprio</t>
  </si>
  <si>
    <t>S964</t>
  </si>
  <si>
    <t>Synthetic Title 964</t>
  </si>
  <si>
    <t>S965</t>
  </si>
  <si>
    <t>Synthetic Title 965</t>
  </si>
  <si>
    <t>Leonardo Dicaprio, Morgan Freeman, Zendaya</t>
  </si>
  <si>
    <t>S966</t>
  </si>
  <si>
    <t>Synthetic Title 966</t>
  </si>
  <si>
    <t>S967</t>
  </si>
  <si>
    <t>Synthetic Title 967</t>
  </si>
  <si>
    <t>S968</t>
  </si>
  <si>
    <t>Synthetic Title 968</t>
  </si>
  <si>
    <t>S969</t>
  </si>
  <si>
    <t>Synthetic Title 969</t>
  </si>
  <si>
    <t>S970</t>
  </si>
  <si>
    <t>Synthetic Title 970</t>
  </si>
  <si>
    <t>S971</t>
  </si>
  <si>
    <t>Synthetic Title 971</t>
  </si>
  <si>
    <t>S972</t>
  </si>
  <si>
    <t>Synthetic Title 972</t>
  </si>
  <si>
    <t>S973</t>
  </si>
  <si>
    <t>Synthetic Title 973</t>
  </si>
  <si>
    <t>S974</t>
  </si>
  <si>
    <t>Synthetic Title 974</t>
  </si>
  <si>
    <t>S975</t>
  </si>
  <si>
    <t>Synthetic Title 975</t>
  </si>
  <si>
    <t>S976</t>
  </si>
  <si>
    <t>Synthetic Title 976</t>
  </si>
  <si>
    <t>S977</t>
  </si>
  <si>
    <t>Synthetic Title 977</t>
  </si>
  <si>
    <t>S978</t>
  </si>
  <si>
    <t>Synthetic Title 978</t>
  </si>
  <si>
    <t>S979</t>
  </si>
  <si>
    <t>Synthetic Title 979</t>
  </si>
  <si>
    <t>S980</t>
  </si>
  <si>
    <t>Synthetic Title 980</t>
  </si>
  <si>
    <t>S981</t>
  </si>
  <si>
    <t>Synthetic Title 981</t>
  </si>
  <si>
    <t>S982</t>
  </si>
  <si>
    <t>Synthetic Title 982</t>
  </si>
  <si>
    <t>S983</t>
  </si>
  <si>
    <t>Synthetic Title 983</t>
  </si>
  <si>
    <t>S984</t>
  </si>
  <si>
    <t>Synthetic Title 984</t>
  </si>
  <si>
    <t>S985</t>
  </si>
  <si>
    <t>Synthetic Title 985</t>
  </si>
  <si>
    <t>S986</t>
  </si>
  <si>
    <t>Synthetic Title 986</t>
  </si>
  <si>
    <t>S987</t>
  </si>
  <si>
    <t>Synthetic Title 987</t>
  </si>
  <si>
    <t>S988</t>
  </si>
  <si>
    <t>Synthetic Title 988</t>
  </si>
  <si>
    <t>S989</t>
  </si>
  <si>
    <t>Synthetic Title 989</t>
  </si>
  <si>
    <t>S990</t>
  </si>
  <si>
    <t>Synthetic Title 990</t>
  </si>
  <si>
    <t>S991</t>
  </si>
  <si>
    <t>Synthetic Title 991</t>
  </si>
  <si>
    <t>Morgan Freeman, Viola Davis, Brad Pitt</t>
  </si>
  <si>
    <t>S992</t>
  </si>
  <si>
    <t>Synthetic Title 992</t>
  </si>
  <si>
    <t>S993</t>
  </si>
  <si>
    <t>Synthetic Title 993</t>
  </si>
  <si>
    <t>S994</t>
  </si>
  <si>
    <t>Synthetic Title 994</t>
  </si>
  <si>
    <t>S995</t>
  </si>
  <si>
    <t>Synthetic Title 995</t>
  </si>
  <si>
    <t>S996</t>
  </si>
  <si>
    <t>Synthetic Title 996</t>
  </si>
  <si>
    <t>S997</t>
  </si>
  <si>
    <t>Synthetic Title 997</t>
  </si>
  <si>
    <t>S998</t>
  </si>
  <si>
    <t>Synthetic Title 998</t>
  </si>
  <si>
    <t>S999</t>
  </si>
  <si>
    <t>Synthetic Title 999</t>
  </si>
  <si>
    <t>S1000</t>
  </si>
  <si>
    <t>Synthetic Title 1000</t>
  </si>
  <si>
    <t>Grand Total</t>
  </si>
  <si>
    <t>Number Of Titles</t>
  </si>
  <si>
    <t>Countries</t>
  </si>
  <si>
    <t>2015</t>
  </si>
  <si>
    <t>2016</t>
  </si>
  <si>
    <t>2017</t>
  </si>
  <si>
    <t>2018</t>
  </si>
  <si>
    <t>2019</t>
  </si>
  <si>
    <t>2020</t>
  </si>
  <si>
    <t>2021</t>
  </si>
  <si>
    <t>2022</t>
  </si>
  <si>
    <t>2023</t>
  </si>
  <si>
    <t>Content_Aded</t>
  </si>
  <si>
    <t>Number Of Content Added</t>
  </si>
  <si>
    <t>Added Year</t>
  </si>
  <si>
    <t>Total Views_Millions</t>
  </si>
  <si>
    <t>Avg User Rating</t>
  </si>
  <si>
    <t>1990-1999</t>
  </si>
  <si>
    <t>2000-2009</t>
  </si>
  <si>
    <t>2010-2019</t>
  </si>
  <si>
    <t>2020-2029</t>
  </si>
  <si>
    <t>Decades</t>
  </si>
  <si>
    <t>Average of Views_Millions</t>
  </si>
  <si>
    <t>Maturity ratings</t>
  </si>
  <si>
    <t>Count Of Ratings</t>
  </si>
  <si>
    <t>Maturity_Ratings</t>
  </si>
  <si>
    <t>Licensed</t>
  </si>
  <si>
    <t>Original</t>
  </si>
  <si>
    <t>Category_Of_Ownership</t>
  </si>
  <si>
    <t>Percentage Of Ownership</t>
  </si>
  <si>
    <t>Own Type</t>
  </si>
  <si>
    <t>Duration Time %</t>
  </si>
  <si>
    <t>Content Type</t>
  </si>
  <si>
    <t>Avg Budget</t>
  </si>
  <si>
    <t>Total Views</t>
  </si>
  <si>
    <t>NativeTimeline_Content_Aded</t>
  </si>
  <si>
    <t>Slicer_Category_Of_Ownership</t>
  </si>
  <si>
    <t>Slicer_Country</t>
  </si>
  <si>
    <t>Slicer_Duration_Type</t>
  </si>
  <si>
    <t>Slicer_Genres</t>
  </si>
  <si>
    <t>Slicer_Type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</si>
</sst>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 &quot;M&quot;"/>
    <numFmt numFmtId="165" formatCode="#,##0.0,,&quot;B&quot;"/>
    <numFmt numFmtId="166" formatCode="#,##0.0,\ &quot;B&quot;"/>
    <numFmt numFmtId="167" formatCode="#,##0.0,\ &quot;M&quot;"/>
  </numFmts>
  <fonts count="4" x14ac:knownFonts="1">
    <font>
      <sz val="11"/>
      <color theme="1"/>
      <name val="Calibri"/>
      <family val="2"/>
      <scheme val="minor"/>
    </font>
    <font>
      <b/>
      <sz val="11"/>
      <color theme="1"/>
      <name val="Calibri"/>
      <family val="2"/>
      <scheme val="minor"/>
    </font>
    <font>
      <sz val="11"/>
      <color theme="1"/>
      <name val="Calibri"/>
      <family val="2"/>
      <scheme val="minor"/>
    </font>
    <font>
      <sz val="28"/>
      <color rgb="FFC00000"/>
      <name val="Calibri"/>
      <family val="2"/>
      <scheme val="minor"/>
    </font>
  </fonts>
  <fills count="3">
    <fill>
      <patternFill patternType="none"/>
    </fill>
    <fill>
      <patternFill patternType="gray125"/>
    </fill>
    <fill>
      <patternFill patternType="solid">
        <fgColor theme="2" tint="-0.89999084444715716"/>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4">
    <xf numFmtId="0" fontId="0" fillId="0" borderId="0" xfId="0"/>
    <xf numFmtId="0" fontId="0" fillId="0" borderId="0" xfId="0" applyAlignment="1">
      <alignment horizontal="center" vertical="center"/>
    </xf>
    <xf numFmtId="0" fontId="1" fillId="0" borderId="0" xfId="0" applyFont="1" applyAlignment="1">
      <alignment horizontal="center" vertical="center"/>
    </xf>
    <xf numFmtId="0" fontId="0" fillId="0" borderId="0" xfId="0" pivotButton="1"/>
    <xf numFmtId="0" fontId="0" fillId="0" borderId="0" xfId="0" applyAlignment="1">
      <alignment horizontal="left"/>
    </xf>
    <xf numFmtId="10" fontId="0" fillId="0" borderId="0" xfId="0" applyNumberFormat="1"/>
    <xf numFmtId="14" fontId="0" fillId="0" borderId="0" xfId="0" applyNumberFormat="1"/>
    <xf numFmtId="9" fontId="0" fillId="0" borderId="0" xfId="1" applyFont="1"/>
    <xf numFmtId="164" fontId="0" fillId="0" borderId="0" xfId="0" applyNumberFormat="1"/>
    <xf numFmtId="165" fontId="0" fillId="0" borderId="0" xfId="0" applyNumberFormat="1"/>
    <xf numFmtId="166" fontId="0" fillId="0" borderId="0" xfId="0" applyNumberFormat="1"/>
    <xf numFmtId="0" fontId="0" fillId="2" borderId="0" xfId="0" applyFill="1"/>
    <xf numFmtId="167" fontId="0" fillId="0" borderId="0" xfId="0" applyNumberFormat="1"/>
    <xf numFmtId="0" fontId="3" fillId="2" borderId="0" xfId="0" applyFont="1" applyFill="1" applyAlignment="1">
      <alignment horizontal="center" vertical="center"/>
    </xf>
  </cellXfs>
  <cellStyles count="2">
    <cellStyle name="Normal" xfId="0" builtinId="0"/>
    <cellStyle name="Percent" xfId="1" builtinId="5"/>
  </cellStyles>
  <dxfs count="26">
    <dxf>
      <numFmt numFmtId="164" formatCode="&quot;$&quot;#,##0.0,,\ &quot;M&quot;"/>
    </dxf>
    <dxf>
      <numFmt numFmtId="168" formatCode="&quot;$&quot;#,##0.00"/>
    </dxf>
    <dxf>
      <numFmt numFmtId="166" formatCode="#,##0.0,\ &quot;B&quot;"/>
    </dxf>
    <dxf>
      <numFmt numFmtId="165" formatCode="#,##0.0,,&quot;B&quot;"/>
    </dxf>
    <dxf>
      <numFmt numFmtId="165" formatCode="#,##0.0,,&quot;B&quot;"/>
    </dxf>
    <dxf>
      <numFmt numFmtId="165" formatCode="#,##0.0,,&quot;B&quot;"/>
    </dxf>
    <dxf>
      <numFmt numFmtId="0" formatCode="Genera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dxf>
    <dxf>
      <alignment horizontal="center" vertical="center" textRotation="0" wrapText="0" indent="0" justifyLastLine="0" shrinkToFit="0" readingOrder="0"/>
    </dxf>
    <dxf>
      <numFmt numFmtId="19" formatCode="dd/mm/yy"/>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font>
        <b/>
      </font>
      <alignment horizontal="center" vertical="center" textRotation="0" wrapText="0" indent="0" justifyLastLine="0" shrinkToFit="0" readingOrder="0"/>
    </dxf>
    <dxf>
      <font>
        <color theme="0"/>
      </font>
      <border>
        <bottom style="thin">
          <color theme="6"/>
        </bottom>
        <vertical/>
        <horizontal/>
      </border>
    </dxf>
    <dxf>
      <font>
        <color theme="0"/>
      </font>
      <fill>
        <patternFill>
          <bgColor theme="1"/>
        </patternFill>
      </fill>
      <border diagonalUp="0" diagonalDown="0">
        <left/>
        <right/>
        <top/>
        <bottom/>
        <vertical/>
        <horizontal/>
      </border>
    </dxf>
  </dxfs>
  <tableStyles count="1" defaultTableStyle="TableStyleMedium2" defaultPivotStyle="PivotStyleLight16">
    <tableStyle name="Dashboard_Slicer" pivot="0" table="0" count="10" xr9:uid="{A55D789E-59CB-429C-9F78-7D92F6C54696}">
      <tableStyleElement type="wholeTable" dxfId="25"/>
      <tableStyleElement type="headerRow" dxfId="2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1" tint="0.49998474074526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1" tint="0.499984740745262"/>
            </pattern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rgb="FFC00000"/>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theme="0"/>
          </font>
          <fill>
            <patternFill patternType="solid">
              <fgColor rgb="FFC0C0C0"/>
              <bgColor theme="1"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Dashboard_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[Ott Cleaned Data.xlsx]Pivot_Table!DFuration_Percentage</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sunset" dir="t">
              <a:rot lat="0" lon="0" rev="1800000"/>
            </a:lightRig>
          </a:scene3d>
          <a:sp3d>
            <a:bevel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C00000"/>
          </a:solidFill>
          <a:ln>
            <a:noFill/>
          </a:ln>
          <a:effectLst>
            <a:outerShdw blurRad="57150" dist="19050" dir="5400000" algn="ctr" rotWithShape="0">
              <a:srgbClr val="000000">
                <a:alpha val="63000"/>
              </a:srgbClr>
            </a:outerShdw>
          </a:effectLst>
          <a:scene3d>
            <a:camera prst="orthographicFront"/>
            <a:lightRig rig="sunset" dir="t"/>
          </a:scene3d>
          <a:sp3d>
            <a:bevelT/>
          </a:sp3d>
        </c:spPr>
        <c:dLbl>
          <c:idx val="0"/>
          <c:layout>
            <c:manualLayout>
              <c:x val="0.12820512820512803"/>
              <c:y val="0.1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alpha val="93000"/>
                    </a:srgb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bg2">
              <a:lumMod val="25000"/>
            </a:schemeClr>
          </a:solidFill>
          <a:ln>
            <a:noFill/>
          </a:ln>
          <a:effectLst>
            <a:outerShdw blurRad="57150" dist="19050" dir="5400000" algn="ctr" rotWithShape="0">
              <a:srgbClr val="000000">
                <a:alpha val="63000"/>
              </a:srgbClr>
            </a:outerShdw>
          </a:effectLst>
          <a:scene3d>
            <a:camera prst="orthographicFront"/>
            <a:lightRig rig="threePt" dir="t">
              <a:rot lat="0" lon="0" rev="1800000"/>
            </a:lightRig>
          </a:scene3d>
          <a:sp3d>
            <a:bevelT/>
          </a:sp3d>
        </c:spPr>
        <c:dLbl>
          <c:idx val="0"/>
          <c:layout>
            <c:manualLayout>
              <c:x val="-9.9715099715099731E-2"/>
              <c:y val="-0.2055555555555555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alpha val="72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Pivot_Table!$B$13</c:f>
              <c:strCache>
                <c:ptCount val="1"/>
                <c:pt idx="0">
                  <c:v>Total</c:v>
                </c:pt>
              </c:strCache>
            </c:strRef>
          </c:tx>
          <c:spPr>
            <a:scene3d>
              <a:camera prst="orthographicFront"/>
              <a:lightRig rig="sunset" dir="t">
                <a:rot lat="0" lon="0" rev="1800000"/>
              </a:lightRig>
            </a:scene3d>
            <a:sp3d>
              <a:bevelT/>
            </a:sp3d>
          </c:spPr>
          <c:dPt>
            <c:idx val="0"/>
            <c:bubble3D val="0"/>
            <c:spPr>
              <a:solidFill>
                <a:srgbClr val="C00000"/>
              </a:solidFill>
              <a:ln>
                <a:noFill/>
              </a:ln>
              <a:effectLst>
                <a:outerShdw blurRad="57150" dist="19050" dir="5400000" algn="ctr" rotWithShape="0">
                  <a:srgbClr val="000000">
                    <a:alpha val="63000"/>
                  </a:srgbClr>
                </a:outerShdw>
              </a:effectLst>
              <a:scene3d>
                <a:camera prst="orthographicFront"/>
                <a:lightRig rig="sunset" dir="t"/>
              </a:scene3d>
              <a:sp3d>
                <a:bevelT/>
              </a:sp3d>
            </c:spPr>
            <c:extLst>
              <c:ext xmlns:c16="http://schemas.microsoft.com/office/drawing/2014/chart" uri="{C3380CC4-5D6E-409C-BE32-E72D297353CC}">
                <c16:uniqueId val="{00000002-43D2-47DA-8380-F9BDB1112DB3}"/>
              </c:ext>
            </c:extLst>
          </c:dPt>
          <c:dPt>
            <c:idx val="1"/>
            <c:bubble3D val="0"/>
            <c:spPr>
              <a:solidFill>
                <a:schemeClr val="bg2">
                  <a:lumMod val="25000"/>
                </a:schemeClr>
              </a:solidFill>
              <a:ln>
                <a:noFill/>
              </a:ln>
              <a:effectLst>
                <a:outerShdw blurRad="57150" dist="19050" dir="5400000" algn="ctr" rotWithShape="0">
                  <a:srgbClr val="000000">
                    <a:alpha val="63000"/>
                  </a:srgbClr>
                </a:outerShdw>
              </a:effectLst>
              <a:scene3d>
                <a:camera prst="orthographicFront"/>
                <a:lightRig rig="threePt" dir="t">
                  <a:rot lat="0" lon="0" rev="1800000"/>
                </a:lightRig>
              </a:scene3d>
              <a:sp3d>
                <a:bevelT/>
              </a:sp3d>
            </c:spPr>
            <c:extLst>
              <c:ext xmlns:c16="http://schemas.microsoft.com/office/drawing/2014/chart" uri="{C3380CC4-5D6E-409C-BE32-E72D297353CC}">
                <c16:uniqueId val="{00000003-43D2-47DA-8380-F9BDB1112DB3}"/>
              </c:ext>
            </c:extLst>
          </c:dPt>
          <c:dLbls>
            <c:dLbl>
              <c:idx val="0"/>
              <c:layout>
                <c:manualLayout>
                  <c:x val="0.12820512820512803"/>
                  <c:y val="0.1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alpha val="93000"/>
                        </a:srgb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43D2-47DA-8380-F9BDB1112DB3}"/>
                </c:ext>
              </c:extLst>
            </c:dLbl>
            <c:dLbl>
              <c:idx val="1"/>
              <c:layout>
                <c:manualLayout>
                  <c:x val="-9.9715099715099731E-2"/>
                  <c:y val="-0.2055555555555555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alpha val="72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3D2-47DA-8380-F9BDB1112DB3}"/>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Pivot_Table!$A$14:$A$16</c:f>
              <c:strCache>
                <c:ptCount val="2"/>
                <c:pt idx="0">
                  <c:v>Movie</c:v>
                </c:pt>
                <c:pt idx="1">
                  <c:v>Tv Show</c:v>
                </c:pt>
              </c:strCache>
            </c:strRef>
          </c:cat>
          <c:val>
            <c:numRef>
              <c:f>Pivot_Table!$B$14:$B$16</c:f>
              <c:numCache>
                <c:formatCode>0.00%</c:formatCode>
                <c:ptCount val="2"/>
                <c:pt idx="0">
                  <c:v>0.57899999999999996</c:v>
                </c:pt>
                <c:pt idx="1">
                  <c:v>0.42099999999999999</c:v>
                </c:pt>
              </c:numCache>
            </c:numRef>
          </c:val>
          <c:extLst>
            <c:ext xmlns:c16="http://schemas.microsoft.com/office/drawing/2014/chart" uri="{C3380CC4-5D6E-409C-BE32-E72D297353CC}">
              <c16:uniqueId val="{00000000-43D2-47DA-8380-F9BDB1112DB3}"/>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[Ott Cleaned Data.xlsx]Pivot_Table!Content_Addition_Overtime</c:name>
    <c:fmtId val="0"/>
  </c:pivotSource>
  <c:chart>
    <c:autoTitleDeleted val="1"/>
    <c:pivotFmts>
      <c:pivotFmt>
        <c:idx val="0"/>
        <c:spPr>
          <a:ln w="22225" cap="rnd">
            <a:solidFill>
              <a:srgbClr val="C00000">
                <a:alpha val="88000"/>
              </a:srgbClr>
            </a:solidFill>
            <a:round/>
          </a:ln>
          <a:effectLst>
            <a:outerShdw blurRad="57150" dist="19050" dir="5400000" algn="ctr" rotWithShape="0">
              <a:srgbClr val="000000">
                <a:alpha val="63000"/>
              </a:srgbClr>
            </a:outerShdw>
          </a:effectLst>
        </c:spPr>
        <c:marker>
          <c:symbol val="circle"/>
          <c:size val="6"/>
          <c:spPr>
            <a:solidFill>
              <a:srgbClr val="C00000"/>
            </a:solidFill>
            <a:ln w="952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a:scene3d>
              <a:camera prst="orthographicFront"/>
              <a:lightRig rig="sunset" dir="t"/>
            </a:scene3d>
            <a:sp3d>
              <a:bevelT/>
            </a:sp3d>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25143299795858853"/>
          <c:w val="0.89019685039370078"/>
          <c:h val="0.52644757946923304"/>
        </c:manualLayout>
      </c:layout>
      <c:lineChart>
        <c:grouping val="standard"/>
        <c:varyColors val="0"/>
        <c:ser>
          <c:idx val="0"/>
          <c:order val="0"/>
          <c:tx>
            <c:strRef>
              <c:f>Pivot_Table!$R$13</c:f>
              <c:strCache>
                <c:ptCount val="1"/>
                <c:pt idx="0">
                  <c:v>Total</c:v>
                </c:pt>
              </c:strCache>
            </c:strRef>
          </c:tx>
          <c:spPr>
            <a:ln w="22225" cap="rnd">
              <a:solidFill>
                <a:srgbClr val="C00000">
                  <a:alpha val="88000"/>
                </a:srgbClr>
              </a:solidFill>
              <a:round/>
            </a:ln>
            <a:effectLst>
              <a:outerShdw blurRad="57150" dist="19050" dir="5400000" algn="ctr" rotWithShape="0">
                <a:srgbClr val="000000">
                  <a:alpha val="63000"/>
                </a:srgbClr>
              </a:outerShdw>
            </a:effectLst>
          </c:spPr>
          <c:marker>
            <c:symbol val="circle"/>
            <c:size val="6"/>
            <c:spPr>
              <a:solidFill>
                <a:srgbClr val="C00000"/>
              </a:solidFill>
              <a:ln w="952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a:scene3d>
                <a:camera prst="orthographicFront"/>
                <a:lightRig rig="sunset" dir="t"/>
              </a:scene3d>
              <a:sp3d>
                <a:bevelT/>
              </a:sp3d>
            </c:spPr>
          </c:marker>
          <c:cat>
            <c:strRef>
              <c:f>Pivot_Table!$Q$14:$Q$23</c:f>
              <c:strCache>
                <c:ptCount val="9"/>
                <c:pt idx="0">
                  <c:v>2015</c:v>
                </c:pt>
                <c:pt idx="1">
                  <c:v>2016</c:v>
                </c:pt>
                <c:pt idx="2">
                  <c:v>2017</c:v>
                </c:pt>
                <c:pt idx="3">
                  <c:v>2018</c:v>
                </c:pt>
                <c:pt idx="4">
                  <c:v>2019</c:v>
                </c:pt>
                <c:pt idx="5">
                  <c:v>2020</c:v>
                </c:pt>
                <c:pt idx="6">
                  <c:v>2021</c:v>
                </c:pt>
                <c:pt idx="7">
                  <c:v>2022</c:v>
                </c:pt>
                <c:pt idx="8">
                  <c:v>2023</c:v>
                </c:pt>
              </c:strCache>
            </c:strRef>
          </c:cat>
          <c:val>
            <c:numRef>
              <c:f>Pivot_Table!$R$14:$R$23</c:f>
              <c:numCache>
                <c:formatCode>General</c:formatCode>
                <c:ptCount val="9"/>
                <c:pt idx="0">
                  <c:v>99</c:v>
                </c:pt>
                <c:pt idx="1">
                  <c:v>112</c:v>
                </c:pt>
                <c:pt idx="2">
                  <c:v>119</c:v>
                </c:pt>
                <c:pt idx="3">
                  <c:v>112</c:v>
                </c:pt>
                <c:pt idx="4">
                  <c:v>104</c:v>
                </c:pt>
                <c:pt idx="5">
                  <c:v>120</c:v>
                </c:pt>
                <c:pt idx="6">
                  <c:v>106</c:v>
                </c:pt>
                <c:pt idx="7">
                  <c:v>120</c:v>
                </c:pt>
                <c:pt idx="8">
                  <c:v>108</c:v>
                </c:pt>
              </c:numCache>
            </c:numRef>
          </c:val>
          <c:smooth val="0"/>
          <c:extLst>
            <c:ext xmlns:c16="http://schemas.microsoft.com/office/drawing/2014/chart" uri="{C3380CC4-5D6E-409C-BE32-E72D297353CC}">
              <c16:uniqueId val="{00000000-58DF-47C5-B4EE-541D8E9085D9}"/>
            </c:ext>
          </c:extLst>
        </c:ser>
        <c:dLbls>
          <c:showLegendKey val="0"/>
          <c:showVal val="0"/>
          <c:showCatName val="0"/>
          <c:showSerName val="0"/>
          <c:showPercent val="0"/>
          <c:showBubbleSize val="0"/>
        </c:dLbls>
        <c:marker val="1"/>
        <c:smooth val="0"/>
        <c:axId val="1885875951"/>
        <c:axId val="444758928"/>
      </c:lineChart>
      <c:catAx>
        <c:axId val="1885875951"/>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crossAx val="444758928"/>
        <c:crosses val="autoZero"/>
        <c:auto val="1"/>
        <c:lblAlgn val="ctr"/>
        <c:lblOffset val="100"/>
        <c:noMultiLvlLbl val="0"/>
      </c:catAx>
      <c:valAx>
        <c:axId val="4447589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crossAx val="1885875951"/>
        <c:crosses val="autoZero"/>
        <c:crossBetween val="between"/>
      </c:valAx>
      <c:spPr>
        <a:gradFill rotWithShape="1">
          <a:gsLst>
            <a:gs pos="100000">
              <a:srgbClr val="C00000">
                <a:alpha val="78000"/>
              </a:srgbClr>
            </a:gs>
            <a:gs pos="21000">
              <a:schemeClr val="dk1">
                <a:satMod val="110000"/>
                <a:lumMod val="100000"/>
                <a:shade val="100000"/>
              </a:schemeClr>
            </a:gs>
            <a:gs pos="100000">
              <a:schemeClr val="dk1">
                <a:lumMod val="99000"/>
                <a:satMod val="120000"/>
                <a:shade val="78000"/>
              </a:schemeClr>
            </a:gs>
          </a:gsLst>
          <a:lin ang="5400000" scaled="0"/>
        </a:gradFill>
        <a:ln w="6350" cap="flat" cmpd="sng" algn="ctr">
          <a:noFill/>
          <a:prstDash val="solid"/>
          <a:miter lim="800000"/>
        </a:ln>
        <a:effectLst/>
        <a:scene3d>
          <a:camera prst="orthographicFront"/>
          <a:lightRig rig="threePt" dir="t">
            <a:rot lat="0" lon="0" rev="1800000"/>
          </a:lightRig>
        </a:scene3d>
        <a:sp3d>
          <a:bevelT/>
        </a:sp3d>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a:solidFill>
        <a:schemeClr val="tx1">
          <a:lumMod val="95000"/>
          <a:lumOff val="5000"/>
        </a:schemeClr>
      </a:solidFill>
    </a:ln>
    <a:effectLst/>
    <a:scene3d>
      <a:camera prst="orthographicFront"/>
      <a:lightRig rig="flood" dir="t"/>
    </a:scene3d>
    <a:sp3d>
      <a:bevelT/>
    </a:sp3d>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[Ott Cleaned Data.xlsx]Pivot_Table!Maturity_Ratings_Count</c:name>
    <c:fmtId val="0"/>
  </c:pivotSource>
  <c:chart>
    <c:autoTitleDeleted val="1"/>
    <c:pivotFmts>
      <c:pivotFmt>
        <c:idx val="0"/>
        <c:spPr>
          <a:gradFill rotWithShape="1">
            <a:gsLst>
              <a:gs pos="50000">
                <a:srgbClr val="C00000">
                  <a:alpha val="78000"/>
                </a:srgbClr>
              </a:gs>
              <a:gs pos="0">
                <a:schemeClr val="dk1">
                  <a:satMod val="110000"/>
                  <a:lumMod val="100000"/>
                  <a:shade val="100000"/>
                </a:schemeClr>
              </a:gs>
              <a:gs pos="0">
                <a:schemeClr val="dk1">
                  <a:lumMod val="99000"/>
                  <a:satMod val="120000"/>
                  <a:shade val="78000"/>
                </a:schemeClr>
              </a:gs>
            </a:gsLst>
            <a:lin ang="5400000" scaled="0"/>
          </a:gradFill>
          <a:ln w="9525" cap="flat" cmpd="sng" algn="ctr">
            <a:noFill/>
            <a:round/>
          </a:ln>
          <a:effectLst/>
          <a:scene3d>
            <a:camera prst="orthographicFront"/>
            <a:lightRig rig="sunset" dir="t">
              <a:rot lat="0" lon="0" rev="1800000"/>
            </a:lightRig>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s>
    <c:plotArea>
      <c:layout/>
      <c:barChart>
        <c:barDir val="col"/>
        <c:grouping val="clustered"/>
        <c:varyColors val="0"/>
        <c:ser>
          <c:idx val="0"/>
          <c:order val="0"/>
          <c:tx>
            <c:strRef>
              <c:f>Pivot_Table!$AF$13</c:f>
              <c:strCache>
                <c:ptCount val="1"/>
                <c:pt idx="0">
                  <c:v>Total</c:v>
                </c:pt>
              </c:strCache>
            </c:strRef>
          </c:tx>
          <c:spPr>
            <a:gradFill rotWithShape="1">
              <a:gsLst>
                <a:gs pos="50000">
                  <a:srgbClr val="C00000">
                    <a:alpha val="78000"/>
                  </a:srgbClr>
                </a:gs>
                <a:gs pos="0">
                  <a:schemeClr val="dk1">
                    <a:satMod val="110000"/>
                    <a:lumMod val="100000"/>
                    <a:shade val="100000"/>
                  </a:schemeClr>
                </a:gs>
                <a:gs pos="0">
                  <a:schemeClr val="dk1">
                    <a:lumMod val="99000"/>
                    <a:satMod val="120000"/>
                    <a:shade val="78000"/>
                  </a:schemeClr>
                </a:gs>
              </a:gsLst>
              <a:lin ang="5400000" scaled="0"/>
            </a:gradFill>
            <a:ln w="9525" cap="flat" cmpd="sng" algn="ctr">
              <a:noFill/>
              <a:round/>
            </a:ln>
            <a:effectLst/>
            <a:scene3d>
              <a:camera prst="orthographicFront"/>
              <a:lightRig rig="sunset" dir="t">
                <a:rot lat="0" lon="0" rev="1800000"/>
              </a:lightRig>
            </a:scene3d>
            <a:sp3d>
              <a:bevelT/>
              <a:bevelB/>
            </a:sp3d>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Pivot_Table!$AE$14:$AE$20</c:f>
              <c:strCache>
                <c:ptCount val="6"/>
                <c:pt idx="0">
                  <c:v>NR</c:v>
                </c:pt>
                <c:pt idx="1">
                  <c:v>PG-13</c:v>
                </c:pt>
                <c:pt idx="2">
                  <c:v>R</c:v>
                </c:pt>
                <c:pt idx="3">
                  <c:v>TV-14</c:v>
                </c:pt>
                <c:pt idx="4">
                  <c:v>TV-MA</c:v>
                </c:pt>
                <c:pt idx="5">
                  <c:v>TV-PG</c:v>
                </c:pt>
              </c:strCache>
            </c:strRef>
          </c:cat>
          <c:val>
            <c:numRef>
              <c:f>Pivot_Table!$AF$14:$AF$20</c:f>
              <c:numCache>
                <c:formatCode>General</c:formatCode>
                <c:ptCount val="6"/>
                <c:pt idx="0">
                  <c:v>162</c:v>
                </c:pt>
                <c:pt idx="1">
                  <c:v>165</c:v>
                </c:pt>
                <c:pt idx="2">
                  <c:v>164</c:v>
                </c:pt>
                <c:pt idx="3">
                  <c:v>187</c:v>
                </c:pt>
                <c:pt idx="4">
                  <c:v>171</c:v>
                </c:pt>
                <c:pt idx="5">
                  <c:v>151</c:v>
                </c:pt>
              </c:numCache>
            </c:numRef>
          </c:val>
          <c:extLst>
            <c:ext xmlns:c16="http://schemas.microsoft.com/office/drawing/2014/chart" uri="{C3380CC4-5D6E-409C-BE32-E72D297353CC}">
              <c16:uniqueId val="{00000000-8B89-4107-BE98-38FC9BE19A17}"/>
            </c:ext>
          </c:extLst>
        </c:ser>
        <c:dLbls>
          <c:dLblPos val="outEnd"/>
          <c:showLegendKey val="0"/>
          <c:showVal val="1"/>
          <c:showCatName val="0"/>
          <c:showSerName val="0"/>
          <c:showPercent val="0"/>
          <c:showBubbleSize val="0"/>
        </c:dLbls>
        <c:gapWidth val="100"/>
        <c:overlap val="-24"/>
        <c:axId val="1885820271"/>
        <c:axId val="444759888"/>
      </c:barChart>
      <c:catAx>
        <c:axId val="18858202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crossAx val="444759888"/>
        <c:crosses val="autoZero"/>
        <c:auto val="1"/>
        <c:lblAlgn val="ctr"/>
        <c:lblOffset val="100"/>
        <c:noMultiLvlLbl val="0"/>
      </c:catAx>
      <c:valAx>
        <c:axId val="444759888"/>
        <c:scaling>
          <c:orientation val="minMax"/>
        </c:scaling>
        <c:delete val="1"/>
        <c:axPos val="l"/>
        <c:numFmt formatCode="General" sourceLinked="1"/>
        <c:majorTickMark val="none"/>
        <c:minorTickMark val="none"/>
        <c:tickLblPos val="nextTo"/>
        <c:crossAx val="1885820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a:scene3d>
      <a:camera prst="orthographicFront"/>
      <a:lightRig rig="threePt" dir="t"/>
    </a:scene3d>
    <a:sp3d prstMaterial="metal">
      <a:bevelB/>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[Ott Cleaned Data.xlsx]Pivot_Table!Production_Country</c:name>
    <c:fmtId val="0"/>
  </c:pivotSource>
  <c:chart>
    <c:autoTitleDeleted val="1"/>
    <c:pivotFmts>
      <c:pivotFmt>
        <c:idx val="0"/>
        <c:spPr>
          <a:gradFill>
            <a:gsLst>
              <a:gs pos="40000">
                <a:srgbClr val="AD0909"/>
              </a:gs>
              <a:gs pos="100000">
                <a:schemeClr val="tx1">
                  <a:lumMod val="75000"/>
                  <a:lumOff val="25000"/>
                </a:schemeClr>
              </a:gs>
            </a:gsLst>
            <a:lin ang="5400000" scaled="1"/>
          </a:gradFill>
          <a:ln>
            <a:noFill/>
          </a:ln>
          <a:effectLst/>
          <a:scene3d>
            <a:camera prst="orthographicFront"/>
            <a:lightRig rig="sunset" dir="t">
              <a:rot lat="0" lon="0" rev="1800000"/>
            </a:lightRig>
          </a:scene3d>
          <a:sp3d>
            <a:bevel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Pivot_Table!$L$13</c:f>
              <c:strCache>
                <c:ptCount val="1"/>
                <c:pt idx="0">
                  <c:v>Total</c:v>
                </c:pt>
              </c:strCache>
            </c:strRef>
          </c:tx>
          <c:spPr>
            <a:gradFill>
              <a:gsLst>
                <a:gs pos="40000">
                  <a:srgbClr val="AD0909"/>
                </a:gs>
                <a:gs pos="100000">
                  <a:schemeClr val="tx1">
                    <a:lumMod val="75000"/>
                    <a:lumOff val="25000"/>
                  </a:schemeClr>
                </a:gs>
              </a:gsLst>
              <a:lin ang="5400000" scaled="1"/>
            </a:gradFill>
            <a:ln>
              <a:noFill/>
            </a:ln>
            <a:effectLst/>
            <a:scene3d>
              <a:camera prst="orthographicFront"/>
              <a:lightRig rig="sunset" dir="t">
                <a:rot lat="0" lon="0" rev="1800000"/>
              </a:lightRig>
            </a:scene3d>
            <a:sp3d>
              <a:bevelT/>
            </a:sp3d>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Pivot_Table!$K$14:$K$22</c:f>
              <c:strCache>
                <c:ptCount val="8"/>
                <c:pt idx="0">
                  <c:v>Canada</c:v>
                </c:pt>
                <c:pt idx="1">
                  <c:v>France</c:v>
                </c:pt>
                <c:pt idx="2">
                  <c:v>India</c:v>
                </c:pt>
                <c:pt idx="3">
                  <c:v>Japan</c:v>
                </c:pt>
                <c:pt idx="4">
                  <c:v>South Korea</c:v>
                </c:pt>
                <c:pt idx="5">
                  <c:v>United Kingdom</c:v>
                </c:pt>
                <c:pt idx="6">
                  <c:v>United States</c:v>
                </c:pt>
                <c:pt idx="7">
                  <c:v>United States, Canada</c:v>
                </c:pt>
              </c:strCache>
            </c:strRef>
          </c:cat>
          <c:val>
            <c:numRef>
              <c:f>Pivot_Table!$L$14:$L$22</c:f>
              <c:numCache>
                <c:formatCode>General</c:formatCode>
                <c:ptCount val="8"/>
                <c:pt idx="0">
                  <c:v>115</c:v>
                </c:pt>
                <c:pt idx="1">
                  <c:v>121</c:v>
                </c:pt>
                <c:pt idx="2">
                  <c:v>126</c:v>
                </c:pt>
                <c:pt idx="3">
                  <c:v>131</c:v>
                </c:pt>
                <c:pt idx="4">
                  <c:v>129</c:v>
                </c:pt>
                <c:pt idx="5">
                  <c:v>119</c:v>
                </c:pt>
                <c:pt idx="6">
                  <c:v>130</c:v>
                </c:pt>
                <c:pt idx="7">
                  <c:v>129</c:v>
                </c:pt>
              </c:numCache>
            </c:numRef>
          </c:val>
          <c:extLst>
            <c:ext xmlns:c16="http://schemas.microsoft.com/office/drawing/2014/chart" uri="{C3380CC4-5D6E-409C-BE32-E72D297353CC}">
              <c16:uniqueId val="{00000000-988F-4D8B-BA40-5391F1D53411}"/>
            </c:ext>
          </c:extLst>
        </c:ser>
        <c:dLbls>
          <c:dLblPos val="outEnd"/>
          <c:showLegendKey val="0"/>
          <c:showVal val="1"/>
          <c:showCatName val="0"/>
          <c:showSerName val="0"/>
          <c:showPercent val="0"/>
          <c:showBubbleSize val="0"/>
        </c:dLbls>
        <c:gapWidth val="182"/>
        <c:axId val="421645920"/>
        <c:axId val="444763248"/>
      </c:barChart>
      <c:catAx>
        <c:axId val="421645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crossAx val="444763248"/>
        <c:crosses val="autoZero"/>
        <c:auto val="1"/>
        <c:lblAlgn val="ctr"/>
        <c:lblOffset val="100"/>
        <c:noMultiLvlLbl val="0"/>
      </c:catAx>
      <c:valAx>
        <c:axId val="444763248"/>
        <c:scaling>
          <c:orientation val="minMax"/>
        </c:scaling>
        <c:delete val="1"/>
        <c:axPos val="b"/>
        <c:numFmt formatCode="General" sourceLinked="1"/>
        <c:majorTickMark val="none"/>
        <c:minorTickMark val="none"/>
        <c:tickLblPos val="nextTo"/>
        <c:crossAx val="421645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noFill/>
      <a:prstDash val="solid"/>
      <a:miter lim="800000"/>
    </a:ln>
    <a:effectLst/>
    <a:scene3d>
      <a:camera prst="orthographicFront"/>
      <a:lightRig rig="threePt" dir="t"/>
    </a:scene3d>
    <a:sp3d>
      <a:bevelT prst="angle"/>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[Ott Cleaned Data.xlsx]Pivot_Table!Total_Views_By_Genres</c:name>
    <c:fmtId val="0"/>
  </c:pivotSource>
  <c:chart>
    <c:autoTitleDeleted val="1"/>
    <c:pivotFmts>
      <c:pivotFmt>
        <c:idx val="0"/>
        <c:spPr>
          <a:gradFill>
            <a:gsLst>
              <a:gs pos="40000">
                <a:srgbClr val="AD0909"/>
              </a:gs>
              <a:gs pos="100000">
                <a:schemeClr val="tx1">
                  <a:lumMod val="75000"/>
                  <a:lumOff val="25000"/>
                </a:schemeClr>
              </a:gs>
            </a:gsLst>
            <a:lin ang="5400000" scaled="1"/>
          </a:gradFill>
          <a:ln>
            <a:noFill/>
          </a:ln>
          <a:effectLst/>
          <a:scene3d>
            <a:camera prst="orthographicFront"/>
            <a:lightRig rig="sunset" dir="t">
              <a:rot lat="0" lon="0" rev="1800000"/>
            </a:lightRig>
          </a:scene3d>
          <a:sp3d>
            <a:bevel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Pivot_Table!$Y$13</c:f>
              <c:strCache>
                <c:ptCount val="1"/>
                <c:pt idx="0">
                  <c:v>Total</c:v>
                </c:pt>
              </c:strCache>
            </c:strRef>
          </c:tx>
          <c:spPr>
            <a:gradFill>
              <a:gsLst>
                <a:gs pos="40000">
                  <a:srgbClr val="AD0909"/>
                </a:gs>
                <a:gs pos="100000">
                  <a:schemeClr val="tx1">
                    <a:lumMod val="75000"/>
                    <a:lumOff val="25000"/>
                  </a:schemeClr>
                </a:gs>
              </a:gsLst>
              <a:lin ang="5400000" scaled="1"/>
            </a:gradFill>
            <a:ln>
              <a:noFill/>
            </a:ln>
            <a:effectLst/>
            <a:scene3d>
              <a:camera prst="orthographicFront"/>
              <a:lightRig rig="sunset" dir="t">
                <a:rot lat="0" lon="0" rev="1800000"/>
              </a:lightRig>
            </a:scene3d>
            <a:sp3d>
              <a:bevelT/>
            </a:sp3d>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Pivot_Table!$X$14:$X$20</c:f>
              <c:strCache>
                <c:ptCount val="6"/>
                <c:pt idx="0">
                  <c:v>Comedies</c:v>
                </c:pt>
                <c:pt idx="1">
                  <c:v>Horror Movies, Thrillers</c:v>
                </c:pt>
                <c:pt idx="2">
                  <c:v>Crime Tv Shows</c:v>
                </c:pt>
                <c:pt idx="3">
                  <c:v>Documentaries</c:v>
                </c:pt>
                <c:pt idx="4">
                  <c:v>Action &amp; Adventure</c:v>
                </c:pt>
                <c:pt idx="5">
                  <c:v>International Tv Shows, Tv Dramas</c:v>
                </c:pt>
              </c:strCache>
            </c:strRef>
          </c:cat>
          <c:val>
            <c:numRef>
              <c:f>Pivot_Table!$Y$14:$Y$20</c:f>
              <c:numCache>
                <c:formatCode>#,##0.0,\ "M"</c:formatCode>
                <c:ptCount val="6"/>
                <c:pt idx="0">
                  <c:v>14023.069999999996</c:v>
                </c:pt>
                <c:pt idx="1">
                  <c:v>12936.209999999994</c:v>
                </c:pt>
                <c:pt idx="2">
                  <c:v>12881.409999999994</c:v>
                </c:pt>
                <c:pt idx="3">
                  <c:v>12474.890000000005</c:v>
                </c:pt>
                <c:pt idx="4">
                  <c:v>12096.750000000004</c:v>
                </c:pt>
                <c:pt idx="5">
                  <c:v>10926.850000000002</c:v>
                </c:pt>
              </c:numCache>
            </c:numRef>
          </c:val>
          <c:extLst>
            <c:ext xmlns:c16="http://schemas.microsoft.com/office/drawing/2014/chart" uri="{C3380CC4-5D6E-409C-BE32-E72D297353CC}">
              <c16:uniqueId val="{00000000-716F-4D25-9E1F-8DC51F3B2C5D}"/>
            </c:ext>
          </c:extLst>
        </c:ser>
        <c:dLbls>
          <c:dLblPos val="outEnd"/>
          <c:showLegendKey val="0"/>
          <c:showVal val="1"/>
          <c:showCatName val="0"/>
          <c:showSerName val="0"/>
          <c:showPercent val="0"/>
          <c:showBubbleSize val="0"/>
        </c:dLbls>
        <c:gapWidth val="182"/>
        <c:axId val="421628288"/>
        <c:axId val="444748848"/>
      </c:barChart>
      <c:catAx>
        <c:axId val="421628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44748848"/>
        <c:crosses val="autoZero"/>
        <c:auto val="1"/>
        <c:lblAlgn val="ctr"/>
        <c:lblOffset val="100"/>
        <c:noMultiLvlLbl val="0"/>
      </c:catAx>
      <c:valAx>
        <c:axId val="444748848"/>
        <c:scaling>
          <c:orientation val="minMax"/>
        </c:scaling>
        <c:delete val="1"/>
        <c:axPos val="b"/>
        <c:numFmt formatCode="#,##0.0,\ &quot;M&quot;" sourceLinked="1"/>
        <c:majorTickMark val="none"/>
        <c:minorTickMark val="none"/>
        <c:tickLblPos val="nextTo"/>
        <c:crossAx val="421628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a:scene3d>
      <a:camera prst="orthographicFront"/>
      <a:lightRig rig="harsh" dir="t"/>
    </a:scene3d>
    <a:sp3d prstMaterial="metal">
      <a:bevelT/>
    </a:sp3d>
  </c:spPr>
  <c:txPr>
    <a:bodyPr/>
    <a:lstStyle/>
    <a:p>
      <a:pPr>
        <a:defRPr>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[Ott Cleaned Data.xlsx]Pivot_Table!Category_Of_Ownership</c:name>
    <c:fmtId val="0"/>
  </c:pivotSource>
  <c:chart>
    <c:autoTitleDeleted val="1"/>
    <c:pivotFmts>
      <c:pivotFmt>
        <c:idx val="0"/>
        <c:spPr>
          <a:solidFill>
            <a:schemeClr val="accent1"/>
          </a:solidFill>
          <a:ln w="19050">
            <a:noFill/>
          </a:ln>
          <a:effectLst/>
          <a:scene3d>
            <a:camera prst="orthographicFront"/>
            <a:lightRig rig="harsh" dir="t">
              <a:rot lat="0" lon="0" rev="1800000"/>
            </a:lightRig>
          </a:scene3d>
          <a:sp3d prstMaterial="matte">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w="19050">
            <a:noFill/>
          </a:ln>
          <a:effectLst/>
          <a:scene3d>
            <a:camera prst="orthographicFront"/>
            <a:lightRig rig="harsh" dir="t">
              <a:rot lat="0" lon="0" rev="1800000"/>
            </a:lightRig>
          </a:scene3d>
          <a:sp3d prstMaterial="matte">
            <a:bevelT/>
            <a:bevelB/>
          </a:sp3d>
        </c:spPr>
        <c:dLbl>
          <c:idx val="0"/>
          <c:layout>
            <c:manualLayout>
              <c:x val="3.888888888888889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C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85000"/>
              <a:lumOff val="15000"/>
            </a:schemeClr>
          </a:solidFill>
          <a:ln w="19050">
            <a:noFill/>
          </a:ln>
          <a:effectLst/>
          <a:scene3d>
            <a:camera prst="orthographicFront"/>
            <a:lightRig rig="harsh" dir="t">
              <a:rot lat="0" lon="0" rev="1800000"/>
            </a:lightRig>
          </a:scene3d>
          <a:sp3d prstMaterial="matte">
            <a:bevelT/>
            <a:bevelB/>
          </a:sp3d>
        </c:spPr>
        <c:dLbl>
          <c:idx val="0"/>
          <c:layout>
            <c:manualLayout>
              <c:x val="-0.10555555555555556"/>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6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Pivot_Table!$AN$13</c:f>
              <c:strCache>
                <c:ptCount val="1"/>
                <c:pt idx="0">
                  <c:v>Total</c:v>
                </c:pt>
              </c:strCache>
            </c:strRef>
          </c:tx>
          <c:spPr>
            <a:ln>
              <a:noFill/>
            </a:ln>
            <a:scene3d>
              <a:camera prst="orthographicFront"/>
              <a:lightRig rig="harsh" dir="t">
                <a:rot lat="0" lon="0" rev="1800000"/>
              </a:lightRig>
            </a:scene3d>
            <a:sp3d prstMaterial="matte">
              <a:bevelT/>
              <a:bevelB/>
            </a:sp3d>
          </c:spPr>
          <c:dPt>
            <c:idx val="0"/>
            <c:bubble3D val="0"/>
            <c:spPr>
              <a:solidFill>
                <a:srgbClr val="C00000"/>
              </a:solidFill>
              <a:ln w="19050">
                <a:noFill/>
              </a:ln>
              <a:effectLst/>
              <a:scene3d>
                <a:camera prst="orthographicFront"/>
                <a:lightRig rig="harsh" dir="t">
                  <a:rot lat="0" lon="0" rev="1800000"/>
                </a:lightRig>
              </a:scene3d>
              <a:sp3d prstMaterial="matte">
                <a:bevelT/>
                <a:bevelB/>
              </a:sp3d>
            </c:spPr>
            <c:extLst>
              <c:ext xmlns:c16="http://schemas.microsoft.com/office/drawing/2014/chart" uri="{C3380CC4-5D6E-409C-BE32-E72D297353CC}">
                <c16:uniqueId val="{00000002-13CD-47C5-BDE9-ADCE2F21F9D6}"/>
              </c:ext>
            </c:extLst>
          </c:dPt>
          <c:dPt>
            <c:idx val="1"/>
            <c:bubble3D val="0"/>
            <c:spPr>
              <a:solidFill>
                <a:schemeClr val="tx1">
                  <a:lumMod val="85000"/>
                  <a:lumOff val="15000"/>
                </a:schemeClr>
              </a:solidFill>
              <a:ln w="19050">
                <a:noFill/>
              </a:ln>
              <a:effectLst/>
              <a:scene3d>
                <a:camera prst="orthographicFront"/>
                <a:lightRig rig="harsh" dir="t">
                  <a:rot lat="0" lon="0" rev="1800000"/>
                </a:lightRig>
              </a:scene3d>
              <a:sp3d prstMaterial="matte">
                <a:bevelT/>
                <a:bevelB/>
              </a:sp3d>
            </c:spPr>
            <c:extLst>
              <c:ext xmlns:c16="http://schemas.microsoft.com/office/drawing/2014/chart" uri="{C3380CC4-5D6E-409C-BE32-E72D297353CC}">
                <c16:uniqueId val="{00000003-13CD-47C5-BDE9-ADCE2F21F9D6}"/>
              </c:ext>
            </c:extLst>
          </c:dPt>
          <c:dLbls>
            <c:dLbl>
              <c:idx val="0"/>
              <c:layout>
                <c:manualLayout>
                  <c:x val="3.888888888888889E-2"/>
                  <c:y val="6.944444444444444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3CD-47C5-BDE9-ADCE2F21F9D6}"/>
                </c:ext>
              </c:extLst>
            </c:dLbl>
            <c:dLbl>
              <c:idx val="1"/>
              <c:layout>
                <c:manualLayout>
                  <c:x val="-0.10555555555555556"/>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6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3CD-47C5-BDE9-ADCE2F21F9D6}"/>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Pivot_Table!$AM$14:$AM$16</c:f>
              <c:strCache>
                <c:ptCount val="2"/>
                <c:pt idx="0">
                  <c:v>Licensed</c:v>
                </c:pt>
                <c:pt idx="1">
                  <c:v>Original</c:v>
                </c:pt>
              </c:strCache>
            </c:strRef>
          </c:cat>
          <c:val>
            <c:numRef>
              <c:f>Pivot_Table!$AN$14:$AN$16</c:f>
              <c:numCache>
                <c:formatCode>0.00%</c:formatCode>
                <c:ptCount val="2"/>
                <c:pt idx="0">
                  <c:v>0.52400000000000002</c:v>
                </c:pt>
                <c:pt idx="1">
                  <c:v>0.47599999999999998</c:v>
                </c:pt>
              </c:numCache>
            </c:numRef>
          </c:val>
          <c:extLst>
            <c:ext xmlns:c16="http://schemas.microsoft.com/office/drawing/2014/chart" uri="{C3380CC4-5D6E-409C-BE32-E72D297353CC}">
              <c16:uniqueId val="{00000000-13CD-47C5-BDE9-ADCE2F21F9D6}"/>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9525" cap="flat" cmpd="sng" algn="ctr">
      <a:solidFill>
        <a:schemeClr val="tx1">
          <a:lumMod val="15000"/>
          <a:lumOff val="85000"/>
        </a:schemeClr>
      </a:solidFill>
      <a:round/>
    </a:ln>
    <a:effectLst/>
    <a:scene3d>
      <a:camera prst="orthographicFront"/>
      <a:lightRig rig="threePt" dir="t"/>
    </a:scene3d>
    <a:sp3d prstMaterial="metal">
      <a:bevelT/>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[Ott Cleaned Data.xlsx]Pivot_Table!Content_Addition_Overtime</c:name>
    <c:fmtId val="1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rgbClr val="C00000">
                <a:alpha val="88000"/>
              </a:srgbClr>
            </a:solidFill>
            <a:round/>
          </a:ln>
          <a:effectLst>
            <a:outerShdw blurRad="57150" dist="19050" dir="5400000" algn="ctr" rotWithShape="0">
              <a:srgbClr val="000000">
                <a:alpha val="63000"/>
              </a:srgbClr>
            </a:outerShdw>
          </a:effectLst>
        </c:spPr>
        <c:marker>
          <c:symbol val="circle"/>
          <c:size val="6"/>
          <c:spPr>
            <a:solidFill>
              <a:srgbClr val="C00000"/>
            </a:solidFill>
            <a:ln w="952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a:scene3d>
              <a:camera prst="orthographicFront"/>
              <a:lightRig rig="sunset" dir="t"/>
            </a:scene3d>
            <a:sp3d>
              <a:bevelT/>
            </a:sp3d>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rgbClr val="C00000">
                <a:alpha val="88000"/>
              </a:srgbClr>
            </a:solidFill>
            <a:round/>
          </a:ln>
          <a:effectLst>
            <a:outerShdw blurRad="57150" dist="19050" dir="5400000" algn="ctr" rotWithShape="0">
              <a:srgbClr val="000000">
                <a:alpha val="63000"/>
              </a:srgbClr>
            </a:outerShdw>
          </a:effectLst>
        </c:spPr>
        <c:marker>
          <c:symbol val="circle"/>
          <c:size val="6"/>
          <c:spPr>
            <a:solidFill>
              <a:srgbClr val="C00000"/>
            </a:solidFill>
            <a:ln w="952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a:scene3d>
              <a:camera prst="orthographicFront"/>
              <a:lightRig rig="sunset" dir="t"/>
            </a:scene3d>
            <a:sp3d>
              <a:bevelT/>
            </a:sp3d>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rgbClr val="C00000">
                <a:alpha val="88000"/>
              </a:srgbClr>
            </a:solidFill>
            <a:round/>
          </a:ln>
          <a:effectLst>
            <a:outerShdw blurRad="57150" dist="19050" dir="5400000" algn="ctr" rotWithShape="0">
              <a:srgbClr val="000000">
                <a:alpha val="63000"/>
              </a:srgbClr>
            </a:outerShdw>
          </a:effectLst>
        </c:spPr>
        <c:marker>
          <c:symbol val="circle"/>
          <c:size val="6"/>
          <c:spPr>
            <a:solidFill>
              <a:srgbClr val="C00000"/>
            </a:solidFill>
            <a:ln w="952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a:scene3d>
              <a:camera prst="orthographicFront"/>
              <a:lightRig rig="sunset" dir="t"/>
            </a:scene3d>
            <a:sp3d>
              <a:bevelT/>
            </a:sp3d>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25143299795858853"/>
          <c:w val="0.89019685039370078"/>
          <c:h val="0.52644757946923304"/>
        </c:manualLayout>
      </c:layout>
      <c:lineChart>
        <c:grouping val="standard"/>
        <c:varyColors val="0"/>
        <c:ser>
          <c:idx val="0"/>
          <c:order val="0"/>
          <c:tx>
            <c:strRef>
              <c:f>Pivot_Table!$R$13</c:f>
              <c:strCache>
                <c:ptCount val="1"/>
                <c:pt idx="0">
                  <c:v>Total</c:v>
                </c:pt>
              </c:strCache>
            </c:strRef>
          </c:tx>
          <c:spPr>
            <a:ln w="22225" cap="rnd">
              <a:solidFill>
                <a:srgbClr val="C00000">
                  <a:alpha val="88000"/>
                </a:srgbClr>
              </a:solidFill>
              <a:round/>
            </a:ln>
            <a:effectLst>
              <a:outerShdw blurRad="57150" dist="19050" dir="5400000" algn="ctr" rotWithShape="0">
                <a:srgbClr val="000000">
                  <a:alpha val="63000"/>
                </a:srgbClr>
              </a:outerShdw>
            </a:effectLst>
          </c:spPr>
          <c:marker>
            <c:symbol val="circle"/>
            <c:size val="6"/>
            <c:spPr>
              <a:solidFill>
                <a:srgbClr val="C00000"/>
              </a:solidFill>
              <a:ln w="952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a:scene3d>
                <a:camera prst="orthographicFront"/>
                <a:lightRig rig="sunset" dir="t"/>
              </a:scene3d>
              <a:sp3d>
                <a:bevelT/>
              </a:sp3d>
            </c:spPr>
          </c:marker>
          <c:cat>
            <c:strRef>
              <c:f>Pivot_Table!$Q$14:$Q$23</c:f>
              <c:strCache>
                <c:ptCount val="9"/>
                <c:pt idx="0">
                  <c:v>2015</c:v>
                </c:pt>
                <c:pt idx="1">
                  <c:v>2016</c:v>
                </c:pt>
                <c:pt idx="2">
                  <c:v>2017</c:v>
                </c:pt>
                <c:pt idx="3">
                  <c:v>2018</c:v>
                </c:pt>
                <c:pt idx="4">
                  <c:v>2019</c:v>
                </c:pt>
                <c:pt idx="5">
                  <c:v>2020</c:v>
                </c:pt>
                <c:pt idx="6">
                  <c:v>2021</c:v>
                </c:pt>
                <c:pt idx="7">
                  <c:v>2022</c:v>
                </c:pt>
                <c:pt idx="8">
                  <c:v>2023</c:v>
                </c:pt>
              </c:strCache>
            </c:strRef>
          </c:cat>
          <c:val>
            <c:numRef>
              <c:f>Pivot_Table!$R$14:$R$23</c:f>
              <c:numCache>
                <c:formatCode>General</c:formatCode>
                <c:ptCount val="9"/>
                <c:pt idx="0">
                  <c:v>99</c:v>
                </c:pt>
                <c:pt idx="1">
                  <c:v>112</c:v>
                </c:pt>
                <c:pt idx="2">
                  <c:v>119</c:v>
                </c:pt>
                <c:pt idx="3">
                  <c:v>112</c:v>
                </c:pt>
                <c:pt idx="4">
                  <c:v>104</c:v>
                </c:pt>
                <c:pt idx="5">
                  <c:v>120</c:v>
                </c:pt>
                <c:pt idx="6">
                  <c:v>106</c:v>
                </c:pt>
                <c:pt idx="7">
                  <c:v>120</c:v>
                </c:pt>
                <c:pt idx="8">
                  <c:v>108</c:v>
                </c:pt>
              </c:numCache>
            </c:numRef>
          </c:val>
          <c:smooth val="0"/>
          <c:extLst>
            <c:ext xmlns:c16="http://schemas.microsoft.com/office/drawing/2014/chart" uri="{C3380CC4-5D6E-409C-BE32-E72D297353CC}">
              <c16:uniqueId val="{00000000-9ECF-48D8-9D11-338647CF0171}"/>
            </c:ext>
          </c:extLst>
        </c:ser>
        <c:dLbls>
          <c:showLegendKey val="0"/>
          <c:showVal val="0"/>
          <c:showCatName val="0"/>
          <c:showSerName val="0"/>
          <c:showPercent val="0"/>
          <c:showBubbleSize val="0"/>
        </c:dLbls>
        <c:marker val="1"/>
        <c:smooth val="0"/>
        <c:axId val="1885875951"/>
        <c:axId val="444758928"/>
      </c:lineChart>
      <c:catAx>
        <c:axId val="1885875951"/>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crossAx val="444758928"/>
        <c:crosses val="autoZero"/>
        <c:auto val="1"/>
        <c:lblAlgn val="ctr"/>
        <c:lblOffset val="100"/>
        <c:noMultiLvlLbl val="0"/>
      </c:catAx>
      <c:valAx>
        <c:axId val="4447589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crossAx val="1885875951"/>
        <c:crosses val="autoZero"/>
        <c:crossBetween val="between"/>
      </c:valAx>
      <c:spPr>
        <a:gradFill rotWithShape="1">
          <a:gsLst>
            <a:gs pos="100000">
              <a:srgbClr val="C00000">
                <a:alpha val="78000"/>
              </a:srgbClr>
            </a:gs>
            <a:gs pos="21000">
              <a:schemeClr val="dk1">
                <a:satMod val="110000"/>
                <a:lumMod val="100000"/>
                <a:shade val="100000"/>
              </a:schemeClr>
            </a:gs>
            <a:gs pos="100000">
              <a:schemeClr val="dk1">
                <a:lumMod val="99000"/>
                <a:satMod val="120000"/>
                <a:shade val="78000"/>
              </a:schemeClr>
            </a:gs>
          </a:gsLst>
          <a:lin ang="5400000" scaled="0"/>
        </a:gradFill>
        <a:ln w="6350" cap="flat" cmpd="sng" algn="ctr">
          <a:noFill/>
          <a:prstDash val="solid"/>
          <a:miter lim="800000"/>
        </a:ln>
        <a:effectLst/>
        <a:scene3d>
          <a:camera prst="orthographicFront"/>
          <a:lightRig rig="threePt" dir="t">
            <a:rot lat="0" lon="0" rev="1800000"/>
          </a:lightRig>
        </a:scene3d>
        <a:sp3d>
          <a:bevelT/>
        </a:sp3d>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solidFill>
        <a:schemeClr val="tx1">
          <a:lumMod val="95000"/>
          <a:lumOff val="5000"/>
        </a:schemeClr>
      </a:solidFill>
    </a:ln>
    <a:effectLst/>
    <a:scene3d>
      <a:camera prst="orthographicFront"/>
      <a:lightRig rig="flood" dir="t"/>
    </a:scene3d>
    <a:sp3d>
      <a:bevelT/>
      <a:bevelB/>
    </a:sp3d>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[Ott Cleaned Data.xlsx]Pivot_Table!Total_Views_By_Genres</c:name>
    <c:fmtId val="3"/>
  </c:pivotSource>
  <c:chart>
    <c:autoTitleDeleted val="1"/>
    <c:pivotFmts>
      <c:pivotFmt>
        <c:idx val="0"/>
        <c:spPr>
          <a:gradFill>
            <a:gsLst>
              <a:gs pos="40000">
                <a:srgbClr val="AD0909"/>
              </a:gs>
              <a:gs pos="100000">
                <a:schemeClr val="tx1">
                  <a:lumMod val="75000"/>
                  <a:lumOff val="25000"/>
                </a:schemeClr>
              </a:gs>
            </a:gsLst>
            <a:lin ang="5400000" scaled="1"/>
          </a:gradFill>
          <a:ln>
            <a:noFill/>
          </a:ln>
          <a:effectLst/>
          <a:scene3d>
            <a:camera prst="orthographicFront"/>
            <a:lightRig rig="sunset" dir="t">
              <a:rot lat="0" lon="0" rev="1800000"/>
            </a:lightRig>
          </a:scene3d>
          <a:sp3d>
            <a:bevel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40000">
                <a:srgbClr val="AD0909"/>
              </a:gs>
              <a:gs pos="100000">
                <a:schemeClr val="tx1">
                  <a:lumMod val="75000"/>
                  <a:lumOff val="25000"/>
                </a:schemeClr>
              </a:gs>
            </a:gsLst>
            <a:lin ang="5400000" scaled="1"/>
          </a:gradFill>
          <a:ln>
            <a:noFill/>
          </a:ln>
          <a:effectLst/>
          <a:scene3d>
            <a:camera prst="orthographicFront"/>
            <a:lightRig rig="sunset" dir="t">
              <a:rot lat="0" lon="0" rev="1800000"/>
            </a:lightRig>
          </a:scene3d>
          <a:sp3d>
            <a:bevel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40000">
                <a:srgbClr val="AD0909"/>
              </a:gs>
              <a:gs pos="100000">
                <a:schemeClr val="tx1">
                  <a:lumMod val="75000"/>
                  <a:lumOff val="25000"/>
                </a:schemeClr>
              </a:gs>
            </a:gsLst>
            <a:lin ang="5400000" scaled="1"/>
          </a:gradFill>
          <a:ln>
            <a:noFill/>
          </a:ln>
          <a:effectLst/>
          <a:scene3d>
            <a:camera prst="orthographicFront"/>
            <a:lightRig rig="sunset" dir="t">
              <a:rot lat="0" lon="0" rev="1800000"/>
            </a:lightRig>
          </a:scene3d>
          <a:sp3d>
            <a:bevel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Pivot_Table!$Y$13</c:f>
              <c:strCache>
                <c:ptCount val="1"/>
                <c:pt idx="0">
                  <c:v>Total</c:v>
                </c:pt>
              </c:strCache>
            </c:strRef>
          </c:tx>
          <c:spPr>
            <a:gradFill>
              <a:gsLst>
                <a:gs pos="40000">
                  <a:srgbClr val="AD0909"/>
                </a:gs>
                <a:gs pos="100000">
                  <a:schemeClr val="tx1">
                    <a:lumMod val="75000"/>
                    <a:lumOff val="25000"/>
                  </a:schemeClr>
                </a:gs>
              </a:gsLst>
              <a:lin ang="5400000" scaled="1"/>
            </a:gradFill>
            <a:ln>
              <a:noFill/>
            </a:ln>
            <a:effectLst/>
            <a:scene3d>
              <a:camera prst="orthographicFront"/>
              <a:lightRig rig="sunset" dir="t">
                <a:rot lat="0" lon="0" rev="1800000"/>
              </a:lightRig>
            </a:scene3d>
            <a:sp3d>
              <a:bevelT/>
            </a:sp3d>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Pivot_Table!$X$14:$X$20</c:f>
              <c:strCache>
                <c:ptCount val="6"/>
                <c:pt idx="0">
                  <c:v>Comedies</c:v>
                </c:pt>
                <c:pt idx="1">
                  <c:v>Horror Movies, Thrillers</c:v>
                </c:pt>
                <c:pt idx="2">
                  <c:v>Crime Tv Shows</c:v>
                </c:pt>
                <c:pt idx="3">
                  <c:v>Documentaries</c:v>
                </c:pt>
                <c:pt idx="4">
                  <c:v>Action &amp; Adventure</c:v>
                </c:pt>
                <c:pt idx="5">
                  <c:v>International Tv Shows, Tv Dramas</c:v>
                </c:pt>
              </c:strCache>
            </c:strRef>
          </c:cat>
          <c:val>
            <c:numRef>
              <c:f>Pivot_Table!$Y$14:$Y$20</c:f>
              <c:numCache>
                <c:formatCode>#,##0.0,\ "M"</c:formatCode>
                <c:ptCount val="6"/>
                <c:pt idx="0">
                  <c:v>14023.069999999996</c:v>
                </c:pt>
                <c:pt idx="1">
                  <c:v>12936.209999999994</c:v>
                </c:pt>
                <c:pt idx="2">
                  <c:v>12881.409999999994</c:v>
                </c:pt>
                <c:pt idx="3">
                  <c:v>12474.890000000005</c:v>
                </c:pt>
                <c:pt idx="4">
                  <c:v>12096.750000000004</c:v>
                </c:pt>
                <c:pt idx="5">
                  <c:v>10926.850000000002</c:v>
                </c:pt>
              </c:numCache>
            </c:numRef>
          </c:val>
          <c:extLst>
            <c:ext xmlns:c16="http://schemas.microsoft.com/office/drawing/2014/chart" uri="{C3380CC4-5D6E-409C-BE32-E72D297353CC}">
              <c16:uniqueId val="{00000000-2E1F-44F8-A253-EBD67DD557D5}"/>
            </c:ext>
          </c:extLst>
        </c:ser>
        <c:dLbls>
          <c:dLblPos val="outEnd"/>
          <c:showLegendKey val="0"/>
          <c:showVal val="1"/>
          <c:showCatName val="0"/>
          <c:showSerName val="0"/>
          <c:showPercent val="0"/>
          <c:showBubbleSize val="0"/>
        </c:dLbls>
        <c:gapWidth val="182"/>
        <c:axId val="421628288"/>
        <c:axId val="444748848"/>
      </c:barChart>
      <c:catAx>
        <c:axId val="421628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44748848"/>
        <c:crosses val="autoZero"/>
        <c:auto val="1"/>
        <c:lblAlgn val="ctr"/>
        <c:lblOffset val="100"/>
        <c:noMultiLvlLbl val="0"/>
      </c:catAx>
      <c:valAx>
        <c:axId val="444748848"/>
        <c:scaling>
          <c:orientation val="minMax"/>
        </c:scaling>
        <c:delete val="1"/>
        <c:axPos val="b"/>
        <c:numFmt formatCode="#,##0.0,\ &quot;M&quot;" sourceLinked="1"/>
        <c:majorTickMark val="none"/>
        <c:minorTickMark val="none"/>
        <c:tickLblPos val="nextTo"/>
        <c:crossAx val="421628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6350" cap="flat" cmpd="sng" algn="ctr">
      <a:noFill/>
      <a:prstDash val="solid"/>
      <a:miter lim="800000"/>
    </a:ln>
    <a:effectLst/>
    <a:scene3d>
      <a:camera prst="orthographicFront"/>
      <a:lightRig rig="flood" dir="t"/>
    </a:scene3d>
    <a:sp3d>
      <a:bevelT/>
      <a:bevelB/>
    </a:sp3d>
  </c:spPr>
  <c:txPr>
    <a:bodyPr/>
    <a:lstStyle/>
    <a:p>
      <a:pPr>
        <a:defRPr>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[Ott Cleaned Data.xlsx]Pivot_Table!Maturity_Ratings_Count</c:name>
    <c:fmtId val="9"/>
  </c:pivotSource>
  <c:chart>
    <c:autoTitleDeleted val="1"/>
    <c:pivotFmts>
      <c:pivotFmt>
        <c:idx val="0"/>
        <c:spPr>
          <a:gradFill rotWithShape="1">
            <a:gsLst>
              <a:gs pos="50000">
                <a:srgbClr val="C00000">
                  <a:alpha val="78000"/>
                </a:srgbClr>
              </a:gs>
              <a:gs pos="0">
                <a:schemeClr val="dk1">
                  <a:satMod val="110000"/>
                  <a:lumMod val="100000"/>
                  <a:shade val="100000"/>
                </a:schemeClr>
              </a:gs>
              <a:gs pos="0">
                <a:schemeClr val="dk1">
                  <a:lumMod val="99000"/>
                  <a:satMod val="120000"/>
                  <a:shade val="78000"/>
                </a:schemeClr>
              </a:gs>
            </a:gsLst>
            <a:lin ang="5400000" scaled="0"/>
          </a:gradFill>
          <a:ln w="9525" cap="flat" cmpd="sng" algn="ctr">
            <a:noFill/>
            <a:round/>
          </a:ln>
          <a:effectLst/>
          <a:scene3d>
            <a:camera prst="orthographicFront"/>
            <a:lightRig rig="sunset" dir="t">
              <a:rot lat="0" lon="0" rev="1800000"/>
            </a:lightRig>
          </a:scene3d>
          <a:sp3d>
            <a:bevelT/>
            <a:bevelB/>
          </a:sp3d>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spPr>
          <a:gradFill rotWithShape="1">
            <a:gsLst>
              <a:gs pos="50000">
                <a:srgbClr val="C00000">
                  <a:alpha val="78000"/>
                </a:srgbClr>
              </a:gs>
              <a:gs pos="0">
                <a:schemeClr val="dk1">
                  <a:satMod val="110000"/>
                  <a:lumMod val="100000"/>
                  <a:shade val="100000"/>
                </a:schemeClr>
              </a:gs>
              <a:gs pos="0">
                <a:schemeClr val="dk1">
                  <a:lumMod val="99000"/>
                  <a:satMod val="120000"/>
                  <a:shade val="78000"/>
                </a:schemeClr>
              </a:gs>
            </a:gsLst>
            <a:lin ang="5400000" scaled="0"/>
          </a:gradFill>
          <a:ln w="9525" cap="flat" cmpd="sng" algn="ctr">
            <a:noFill/>
            <a:round/>
          </a:ln>
          <a:effectLst/>
          <a:scene3d>
            <a:camera prst="orthographicFront"/>
            <a:lightRig rig="sunset" dir="t">
              <a:rot lat="0" lon="0" rev="1800000"/>
            </a:lightRig>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00000">
              <a:alpha val="51373"/>
            </a:srgbClr>
          </a:solidFill>
          <a:ln w="9525" cap="flat" cmpd="sng" algn="ctr">
            <a:noFill/>
            <a:round/>
          </a:ln>
          <a:effectLst/>
          <a:scene3d>
            <a:camera prst="orthographicFront"/>
            <a:lightRig rig="sunset" dir="t">
              <a:rot lat="0" lon="0" rev="1800000"/>
            </a:lightRig>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Pivot_Table!$AF$13</c:f>
              <c:strCache>
                <c:ptCount val="1"/>
                <c:pt idx="0">
                  <c:v>Total</c:v>
                </c:pt>
              </c:strCache>
            </c:strRef>
          </c:tx>
          <c:spPr>
            <a:solidFill>
              <a:srgbClr val="C00000">
                <a:alpha val="51373"/>
              </a:srgbClr>
            </a:solidFill>
            <a:ln w="9525" cap="flat" cmpd="sng" algn="ctr">
              <a:noFill/>
              <a:round/>
            </a:ln>
            <a:effectLst/>
            <a:scene3d>
              <a:camera prst="orthographicFront"/>
              <a:lightRig rig="sunset" dir="t">
                <a:rot lat="0" lon="0" rev="1800000"/>
              </a:lightRig>
            </a:scene3d>
            <a:sp3d>
              <a:bevelT/>
              <a:bevelB/>
            </a:sp3d>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Pivot_Table!$AE$14:$AE$20</c:f>
              <c:strCache>
                <c:ptCount val="6"/>
                <c:pt idx="0">
                  <c:v>NR</c:v>
                </c:pt>
                <c:pt idx="1">
                  <c:v>PG-13</c:v>
                </c:pt>
                <c:pt idx="2">
                  <c:v>R</c:v>
                </c:pt>
                <c:pt idx="3">
                  <c:v>TV-14</c:v>
                </c:pt>
                <c:pt idx="4">
                  <c:v>TV-MA</c:v>
                </c:pt>
                <c:pt idx="5">
                  <c:v>TV-PG</c:v>
                </c:pt>
              </c:strCache>
            </c:strRef>
          </c:cat>
          <c:val>
            <c:numRef>
              <c:f>Pivot_Table!$AF$14:$AF$20</c:f>
              <c:numCache>
                <c:formatCode>General</c:formatCode>
                <c:ptCount val="6"/>
                <c:pt idx="0">
                  <c:v>162</c:v>
                </c:pt>
                <c:pt idx="1">
                  <c:v>165</c:v>
                </c:pt>
                <c:pt idx="2">
                  <c:v>164</c:v>
                </c:pt>
                <c:pt idx="3">
                  <c:v>187</c:v>
                </c:pt>
                <c:pt idx="4">
                  <c:v>171</c:v>
                </c:pt>
                <c:pt idx="5">
                  <c:v>151</c:v>
                </c:pt>
              </c:numCache>
            </c:numRef>
          </c:val>
          <c:extLst>
            <c:ext xmlns:c14="http://schemas.microsoft.com/office/drawing/2007/8/2/chart" uri="{6F2FDCE9-48DA-4B69-8628-5D25D57E5C99}">
              <c14:invertSolidFillFmt>
                <c14:spPr xmlns:c14="http://schemas.microsoft.com/office/drawing/2007/8/2/chart">
                  <a:solidFill>
                    <a:srgbClr val="FFFFFF"/>
                  </a:solidFill>
                  <a:ln w="9525" cap="flat" cmpd="sng" algn="ctr">
                    <a:noFill/>
                    <a:round/>
                  </a:ln>
                  <a:effectLst/>
                  <a:scene3d>
                    <a:camera prst="orthographicFront"/>
                    <a:lightRig rig="sunset" dir="t">
                      <a:rot lat="0" lon="0" rev="1800000"/>
                    </a:lightRig>
                  </a:scene3d>
                  <a:sp3d>
                    <a:bevelT/>
                    <a:bevelB/>
                  </a:sp3d>
                </c14:spPr>
              </c14:invertSolidFillFmt>
            </c:ext>
            <c:ext xmlns:c16="http://schemas.microsoft.com/office/drawing/2014/chart" uri="{C3380CC4-5D6E-409C-BE32-E72D297353CC}">
              <c16:uniqueId val="{00000000-B3EC-49C1-A7C2-0763F8CB28C8}"/>
            </c:ext>
          </c:extLst>
        </c:ser>
        <c:dLbls>
          <c:dLblPos val="outEnd"/>
          <c:showLegendKey val="0"/>
          <c:showVal val="1"/>
          <c:showCatName val="0"/>
          <c:showSerName val="0"/>
          <c:showPercent val="0"/>
          <c:showBubbleSize val="0"/>
        </c:dLbls>
        <c:gapWidth val="100"/>
        <c:overlap val="-24"/>
        <c:axId val="1885820271"/>
        <c:axId val="444759888"/>
      </c:barChart>
      <c:catAx>
        <c:axId val="18858202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crossAx val="444759888"/>
        <c:crosses val="autoZero"/>
        <c:auto val="1"/>
        <c:lblAlgn val="ctr"/>
        <c:lblOffset val="100"/>
        <c:noMultiLvlLbl val="0"/>
      </c:catAx>
      <c:valAx>
        <c:axId val="444759888"/>
        <c:scaling>
          <c:orientation val="minMax"/>
        </c:scaling>
        <c:delete val="1"/>
        <c:axPos val="l"/>
        <c:numFmt formatCode="General" sourceLinked="1"/>
        <c:majorTickMark val="none"/>
        <c:minorTickMark val="none"/>
        <c:tickLblPos val="nextTo"/>
        <c:crossAx val="1885820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6350" cap="flat" cmpd="sng" algn="ctr">
      <a:solidFill>
        <a:schemeClr val="dk1"/>
      </a:solidFill>
      <a:prstDash val="solid"/>
      <a:miter lim="800000"/>
    </a:ln>
    <a:effectLst/>
    <a:scene3d>
      <a:camera prst="orthographicFront"/>
      <a:lightRig rig="flood" dir="t"/>
    </a:scene3d>
    <a:sp3d>
      <a:bevelT/>
      <a:bevelB/>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[Ott Cleaned Data.xlsx]Pivot_Table!Category_Of_Ownership</c:name>
    <c:fmtId val="3"/>
  </c:pivotSource>
  <c:chart>
    <c:autoTitleDeleted val="1"/>
    <c:pivotFmts>
      <c:pivotFmt>
        <c:idx val="0"/>
        <c:spPr>
          <a:solidFill>
            <a:schemeClr val="accent1"/>
          </a:solidFill>
          <a:ln w="19050">
            <a:noFill/>
          </a:ln>
          <a:effectLst/>
          <a:scene3d>
            <a:camera prst="orthographicFront"/>
            <a:lightRig rig="harsh" dir="t">
              <a:rot lat="0" lon="0" rev="1800000"/>
            </a:lightRig>
          </a:scene3d>
          <a:sp3d prstMaterial="matte">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w="19050">
            <a:noFill/>
          </a:ln>
          <a:effectLst/>
          <a:scene3d>
            <a:camera prst="orthographicFront"/>
            <a:lightRig rig="harsh" dir="t">
              <a:rot lat="0" lon="0" rev="1800000"/>
            </a:lightRig>
          </a:scene3d>
          <a:sp3d prstMaterial="matte">
            <a:bevelT/>
            <a:bevelB/>
          </a:sp3d>
        </c:spPr>
        <c:dLbl>
          <c:idx val="0"/>
          <c:layout>
            <c:manualLayout>
              <c:x val="3.888888888888889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C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85000"/>
              <a:lumOff val="15000"/>
            </a:schemeClr>
          </a:solidFill>
          <a:ln w="19050">
            <a:noFill/>
          </a:ln>
          <a:effectLst/>
          <a:scene3d>
            <a:camera prst="orthographicFront"/>
            <a:lightRig rig="harsh" dir="t">
              <a:rot lat="0" lon="0" rev="1800000"/>
            </a:lightRig>
          </a:scene3d>
          <a:sp3d prstMaterial="matte">
            <a:bevelT/>
            <a:bevelB/>
          </a:sp3d>
        </c:spPr>
        <c:dLbl>
          <c:idx val="0"/>
          <c:layout>
            <c:manualLayout>
              <c:x val="-0.10555555555555556"/>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6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noFill/>
          </a:ln>
          <a:effectLst/>
          <a:scene3d>
            <a:camera prst="orthographicFront"/>
            <a:lightRig rig="harsh" dir="t">
              <a:rot lat="0" lon="0" rev="1800000"/>
            </a:lightRig>
          </a:scene3d>
          <a:sp3d prstMaterial="matte">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w="19050">
            <a:noFill/>
          </a:ln>
          <a:effectLst/>
          <a:scene3d>
            <a:camera prst="orthographicFront"/>
            <a:lightRig rig="harsh" dir="t">
              <a:rot lat="0" lon="0" rev="1800000"/>
            </a:lightRig>
          </a:scene3d>
          <a:sp3d prstMaterial="matte">
            <a:bevelT/>
            <a:bevelB/>
          </a:sp3d>
        </c:spPr>
        <c:dLbl>
          <c:idx val="0"/>
          <c:layout>
            <c:manualLayout>
              <c:x val="3.888888888888889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C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lumMod val="85000"/>
              <a:lumOff val="15000"/>
            </a:schemeClr>
          </a:solidFill>
          <a:ln w="19050">
            <a:noFill/>
          </a:ln>
          <a:effectLst/>
          <a:scene3d>
            <a:camera prst="orthographicFront"/>
            <a:lightRig rig="harsh" dir="t">
              <a:rot lat="0" lon="0" rev="1800000"/>
            </a:lightRig>
          </a:scene3d>
          <a:sp3d prstMaterial="matte">
            <a:bevelT/>
            <a:bevelB/>
          </a:sp3d>
        </c:spPr>
        <c:dLbl>
          <c:idx val="0"/>
          <c:layout>
            <c:manualLayout>
              <c:x val="-0.10555555555555556"/>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6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noFill/>
          </a:ln>
          <a:effectLst/>
          <a:scene3d>
            <a:camera prst="orthographicFront"/>
            <a:lightRig rig="harsh" dir="t">
              <a:rot lat="0" lon="0" rev="1800000"/>
            </a:lightRig>
          </a:scene3d>
          <a:sp3d prstMaterial="matte">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w="19050">
            <a:noFill/>
          </a:ln>
          <a:effectLst/>
          <a:scene3d>
            <a:camera prst="orthographicFront"/>
            <a:lightRig rig="harsh" dir="t">
              <a:rot lat="0" lon="0" rev="1800000"/>
            </a:lightRig>
          </a:scene3d>
          <a:sp3d prstMaterial="matte">
            <a:bevelT/>
            <a:bevelB/>
          </a:sp3d>
        </c:spPr>
        <c:dLbl>
          <c:idx val="0"/>
          <c:layout>
            <c:manualLayout>
              <c:x val="3.888888888888889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C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lumMod val="85000"/>
              <a:lumOff val="15000"/>
            </a:schemeClr>
          </a:solidFill>
          <a:ln w="19050">
            <a:noFill/>
          </a:ln>
          <a:effectLst/>
          <a:scene3d>
            <a:camera prst="orthographicFront"/>
            <a:lightRig rig="harsh" dir="t">
              <a:rot lat="0" lon="0" rev="1800000"/>
            </a:lightRig>
          </a:scene3d>
          <a:sp3d prstMaterial="matte">
            <a:bevelT/>
            <a:bevelB/>
          </a:sp3d>
        </c:spPr>
        <c:dLbl>
          <c:idx val="0"/>
          <c:layout>
            <c:manualLayout>
              <c:x val="-0.10555555555555556"/>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6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Pivot_Table!$AN$13</c:f>
              <c:strCache>
                <c:ptCount val="1"/>
                <c:pt idx="0">
                  <c:v>Total</c:v>
                </c:pt>
              </c:strCache>
            </c:strRef>
          </c:tx>
          <c:spPr>
            <a:ln>
              <a:noFill/>
            </a:ln>
            <a:scene3d>
              <a:camera prst="orthographicFront"/>
              <a:lightRig rig="harsh" dir="t">
                <a:rot lat="0" lon="0" rev="1800000"/>
              </a:lightRig>
            </a:scene3d>
            <a:sp3d prstMaterial="matte">
              <a:bevelT/>
              <a:bevelB/>
            </a:sp3d>
          </c:spPr>
          <c:dPt>
            <c:idx val="0"/>
            <c:bubble3D val="0"/>
            <c:spPr>
              <a:solidFill>
                <a:srgbClr val="C00000"/>
              </a:solidFill>
              <a:ln w="19050">
                <a:noFill/>
              </a:ln>
              <a:effectLst/>
              <a:scene3d>
                <a:camera prst="orthographicFront"/>
                <a:lightRig rig="harsh" dir="t">
                  <a:rot lat="0" lon="0" rev="1800000"/>
                </a:lightRig>
              </a:scene3d>
              <a:sp3d prstMaterial="matte">
                <a:bevelT/>
                <a:bevelB/>
              </a:sp3d>
            </c:spPr>
            <c:extLst>
              <c:ext xmlns:c16="http://schemas.microsoft.com/office/drawing/2014/chart" uri="{C3380CC4-5D6E-409C-BE32-E72D297353CC}">
                <c16:uniqueId val="{00000001-0634-46D4-8BAC-4BC14FD61144}"/>
              </c:ext>
            </c:extLst>
          </c:dPt>
          <c:dPt>
            <c:idx val="1"/>
            <c:bubble3D val="0"/>
            <c:spPr>
              <a:solidFill>
                <a:schemeClr val="tx1">
                  <a:lumMod val="85000"/>
                  <a:lumOff val="15000"/>
                </a:schemeClr>
              </a:solidFill>
              <a:ln w="19050">
                <a:noFill/>
              </a:ln>
              <a:effectLst/>
              <a:scene3d>
                <a:camera prst="orthographicFront"/>
                <a:lightRig rig="harsh" dir="t">
                  <a:rot lat="0" lon="0" rev="1800000"/>
                </a:lightRig>
              </a:scene3d>
              <a:sp3d prstMaterial="matte">
                <a:bevelT/>
                <a:bevelB/>
              </a:sp3d>
            </c:spPr>
            <c:extLst>
              <c:ext xmlns:c16="http://schemas.microsoft.com/office/drawing/2014/chart" uri="{C3380CC4-5D6E-409C-BE32-E72D297353CC}">
                <c16:uniqueId val="{00000003-0634-46D4-8BAC-4BC14FD61144}"/>
              </c:ext>
            </c:extLst>
          </c:dPt>
          <c:dLbls>
            <c:dLbl>
              <c:idx val="0"/>
              <c:layout>
                <c:manualLayout>
                  <c:x val="3.888888888888889E-2"/>
                  <c:y val="6.944444444444444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634-46D4-8BAC-4BC14FD61144}"/>
                </c:ext>
              </c:extLst>
            </c:dLbl>
            <c:dLbl>
              <c:idx val="1"/>
              <c:layout>
                <c:manualLayout>
                  <c:x val="-0.10555555555555556"/>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6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634-46D4-8BAC-4BC14FD61144}"/>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Pivot_Table!$AM$14:$AM$16</c:f>
              <c:strCache>
                <c:ptCount val="2"/>
                <c:pt idx="0">
                  <c:v>Licensed</c:v>
                </c:pt>
                <c:pt idx="1">
                  <c:v>Original</c:v>
                </c:pt>
              </c:strCache>
            </c:strRef>
          </c:cat>
          <c:val>
            <c:numRef>
              <c:f>Pivot_Table!$AN$14:$AN$16</c:f>
              <c:numCache>
                <c:formatCode>0.00%</c:formatCode>
                <c:ptCount val="2"/>
                <c:pt idx="0">
                  <c:v>0.52400000000000002</c:v>
                </c:pt>
                <c:pt idx="1">
                  <c:v>0.47599999999999998</c:v>
                </c:pt>
              </c:numCache>
            </c:numRef>
          </c:val>
          <c:extLst>
            <c:ext xmlns:c16="http://schemas.microsoft.com/office/drawing/2014/chart" uri="{C3380CC4-5D6E-409C-BE32-E72D297353CC}">
              <c16:uniqueId val="{00000004-0634-46D4-8BAC-4BC14FD61144}"/>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a:scene3d>
      <a:camera prst="orthographicFront"/>
      <a:lightRig rig="flood" dir="t"/>
    </a:scene3d>
    <a:sp3d>
      <a:bevelT/>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[Ott Cleaned Data.xlsx]Pivot_Table!Production_Country</c:name>
    <c:fmtId val="4"/>
  </c:pivotSource>
  <c:chart>
    <c:autoTitleDeleted val="1"/>
    <c:pivotFmts>
      <c:pivotFmt>
        <c:idx val="0"/>
        <c:spPr>
          <a:gradFill>
            <a:gsLst>
              <a:gs pos="40000">
                <a:srgbClr val="AD0909"/>
              </a:gs>
              <a:gs pos="100000">
                <a:schemeClr val="tx1">
                  <a:lumMod val="75000"/>
                  <a:lumOff val="25000"/>
                </a:schemeClr>
              </a:gs>
            </a:gsLst>
            <a:lin ang="5400000" scaled="1"/>
          </a:gradFill>
          <a:ln>
            <a:noFill/>
          </a:ln>
          <a:effectLst/>
          <a:scene3d>
            <a:camera prst="orthographicFront"/>
            <a:lightRig rig="sunset" dir="t">
              <a:rot lat="0" lon="0" rev="1800000"/>
            </a:lightRig>
          </a:scene3d>
          <a:sp3d>
            <a:bevel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40000">
                <a:srgbClr val="AD0909"/>
              </a:gs>
              <a:gs pos="100000">
                <a:schemeClr val="tx1">
                  <a:lumMod val="75000"/>
                  <a:lumOff val="25000"/>
                </a:schemeClr>
              </a:gs>
            </a:gsLst>
            <a:lin ang="5400000" scaled="1"/>
          </a:gradFill>
          <a:ln>
            <a:noFill/>
          </a:ln>
          <a:effectLst/>
          <a:scene3d>
            <a:camera prst="orthographicFront"/>
            <a:lightRig rig="sunset" dir="t">
              <a:rot lat="0" lon="0" rev="1800000"/>
            </a:lightRig>
          </a:scene3d>
          <a:sp3d>
            <a:bevel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40000">
                <a:srgbClr val="AD0909"/>
              </a:gs>
              <a:gs pos="100000">
                <a:schemeClr val="tx1">
                  <a:lumMod val="75000"/>
                  <a:lumOff val="25000"/>
                </a:schemeClr>
              </a:gs>
            </a:gsLst>
            <a:lin ang="5400000" scaled="1"/>
          </a:gradFill>
          <a:ln>
            <a:noFill/>
          </a:ln>
          <a:effectLst/>
          <a:scene3d>
            <a:camera prst="orthographicFront"/>
            <a:lightRig rig="sunset" dir="t">
              <a:rot lat="0" lon="0" rev="1800000"/>
            </a:lightRig>
          </a:scene3d>
          <a:sp3d>
            <a:bevel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Pivot_Table!$L$13</c:f>
              <c:strCache>
                <c:ptCount val="1"/>
                <c:pt idx="0">
                  <c:v>Total</c:v>
                </c:pt>
              </c:strCache>
            </c:strRef>
          </c:tx>
          <c:spPr>
            <a:gradFill>
              <a:gsLst>
                <a:gs pos="40000">
                  <a:srgbClr val="AD0909"/>
                </a:gs>
                <a:gs pos="100000">
                  <a:schemeClr val="tx1">
                    <a:lumMod val="75000"/>
                    <a:lumOff val="25000"/>
                  </a:schemeClr>
                </a:gs>
              </a:gsLst>
              <a:lin ang="5400000" scaled="1"/>
            </a:gradFill>
            <a:ln>
              <a:noFill/>
            </a:ln>
            <a:effectLst/>
            <a:scene3d>
              <a:camera prst="orthographicFront"/>
              <a:lightRig rig="sunset" dir="t">
                <a:rot lat="0" lon="0" rev="1800000"/>
              </a:lightRig>
            </a:scene3d>
            <a:sp3d>
              <a:bevelT/>
            </a:sp3d>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Pivot_Table!$K$14:$K$22</c:f>
              <c:strCache>
                <c:ptCount val="8"/>
                <c:pt idx="0">
                  <c:v>Canada</c:v>
                </c:pt>
                <c:pt idx="1">
                  <c:v>France</c:v>
                </c:pt>
                <c:pt idx="2">
                  <c:v>India</c:v>
                </c:pt>
                <c:pt idx="3">
                  <c:v>Japan</c:v>
                </c:pt>
                <c:pt idx="4">
                  <c:v>South Korea</c:v>
                </c:pt>
                <c:pt idx="5">
                  <c:v>United Kingdom</c:v>
                </c:pt>
                <c:pt idx="6">
                  <c:v>United States</c:v>
                </c:pt>
                <c:pt idx="7">
                  <c:v>United States, Canada</c:v>
                </c:pt>
              </c:strCache>
            </c:strRef>
          </c:cat>
          <c:val>
            <c:numRef>
              <c:f>Pivot_Table!$L$14:$L$22</c:f>
              <c:numCache>
                <c:formatCode>General</c:formatCode>
                <c:ptCount val="8"/>
                <c:pt idx="0">
                  <c:v>115</c:v>
                </c:pt>
                <c:pt idx="1">
                  <c:v>121</c:v>
                </c:pt>
                <c:pt idx="2">
                  <c:v>126</c:v>
                </c:pt>
                <c:pt idx="3">
                  <c:v>131</c:v>
                </c:pt>
                <c:pt idx="4">
                  <c:v>129</c:v>
                </c:pt>
                <c:pt idx="5">
                  <c:v>119</c:v>
                </c:pt>
                <c:pt idx="6">
                  <c:v>130</c:v>
                </c:pt>
                <c:pt idx="7">
                  <c:v>129</c:v>
                </c:pt>
              </c:numCache>
            </c:numRef>
          </c:val>
          <c:extLst>
            <c:ext xmlns:c16="http://schemas.microsoft.com/office/drawing/2014/chart" uri="{C3380CC4-5D6E-409C-BE32-E72D297353CC}">
              <c16:uniqueId val="{00000000-13C8-404A-A222-55B5AB6B3611}"/>
            </c:ext>
          </c:extLst>
        </c:ser>
        <c:dLbls>
          <c:dLblPos val="outEnd"/>
          <c:showLegendKey val="0"/>
          <c:showVal val="1"/>
          <c:showCatName val="0"/>
          <c:showSerName val="0"/>
          <c:showPercent val="0"/>
          <c:showBubbleSize val="0"/>
        </c:dLbls>
        <c:gapWidth val="182"/>
        <c:axId val="421645920"/>
        <c:axId val="444763248"/>
      </c:barChart>
      <c:catAx>
        <c:axId val="421645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crossAx val="444763248"/>
        <c:crosses val="autoZero"/>
        <c:auto val="1"/>
        <c:lblAlgn val="ctr"/>
        <c:lblOffset val="100"/>
        <c:noMultiLvlLbl val="0"/>
      </c:catAx>
      <c:valAx>
        <c:axId val="444763248"/>
        <c:scaling>
          <c:orientation val="minMax"/>
        </c:scaling>
        <c:delete val="1"/>
        <c:axPos val="b"/>
        <c:numFmt formatCode="General" sourceLinked="1"/>
        <c:majorTickMark val="none"/>
        <c:minorTickMark val="none"/>
        <c:tickLblPos val="nextTo"/>
        <c:crossAx val="421645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6350" cap="flat" cmpd="sng" algn="ctr">
      <a:noFill/>
      <a:prstDash val="solid"/>
      <a:miter lim="800000"/>
    </a:ln>
    <a:effectLst/>
    <a:scene3d>
      <a:camera prst="orthographicFront"/>
      <a:lightRig rig="flood" dir="t">
        <a:rot lat="0" lon="0" rev="1800000"/>
      </a:lightRig>
    </a:scene3d>
    <a:sp3d>
      <a:bevelT/>
      <a:bevelB/>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[Ott Cleaned Data.xlsx]Pivot_Table!DFuration_Percentage</c:name>
    <c:fmtId val="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sunset" dir="t">
              <a:rot lat="0" lon="0" rev="1800000"/>
            </a:lightRig>
          </a:scene3d>
          <a:sp3d>
            <a:bevelT/>
          </a:sp3d>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C00000"/>
          </a:solidFill>
          <a:ln>
            <a:noFill/>
          </a:ln>
          <a:effectLst>
            <a:outerShdw blurRad="57150" dist="19050" dir="5400000" algn="ctr" rotWithShape="0">
              <a:srgbClr val="000000">
                <a:alpha val="63000"/>
              </a:srgbClr>
            </a:outerShdw>
          </a:effectLst>
          <a:scene3d>
            <a:camera prst="orthographicFront"/>
            <a:lightRig rig="sunset" dir="t"/>
          </a:scene3d>
          <a:sp3d>
            <a:bevelT/>
          </a:sp3d>
        </c:spPr>
        <c:dLbl>
          <c:idx val="0"/>
          <c:layout>
            <c:manualLayout>
              <c:x val="0.12820512820512803"/>
              <c:y val="0.1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alpha val="93000"/>
                    </a:srgb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bg2">
              <a:lumMod val="25000"/>
            </a:schemeClr>
          </a:solidFill>
          <a:ln>
            <a:noFill/>
          </a:ln>
          <a:effectLst>
            <a:outerShdw blurRad="57150" dist="19050" dir="5400000" algn="ctr" rotWithShape="0">
              <a:srgbClr val="000000">
                <a:alpha val="63000"/>
              </a:srgbClr>
            </a:outerShdw>
          </a:effectLst>
          <a:scene3d>
            <a:camera prst="orthographicFront"/>
            <a:lightRig rig="threePt" dir="t">
              <a:rot lat="0" lon="0" rev="1800000"/>
            </a:lightRig>
          </a:scene3d>
          <a:sp3d>
            <a:bevelT/>
          </a:sp3d>
        </c:spPr>
        <c:dLbl>
          <c:idx val="0"/>
          <c:layout>
            <c:manualLayout>
              <c:x val="-9.9715099715099731E-2"/>
              <c:y val="-0.2055555555555555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alpha val="72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sunset" dir="t">
              <a:rot lat="0" lon="0" rev="1800000"/>
            </a:lightRig>
          </a:scene3d>
          <a:sp3d>
            <a:bevel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C00000"/>
          </a:solidFill>
          <a:ln>
            <a:noFill/>
          </a:ln>
          <a:effectLst>
            <a:outerShdw blurRad="57150" dist="19050" dir="5400000" algn="ctr" rotWithShape="0">
              <a:srgbClr val="000000">
                <a:alpha val="63000"/>
              </a:srgbClr>
            </a:outerShdw>
          </a:effectLst>
          <a:scene3d>
            <a:camera prst="orthographicFront"/>
            <a:lightRig rig="sunset" dir="t"/>
          </a:scene3d>
          <a:sp3d>
            <a:bevelT/>
          </a:sp3d>
        </c:spPr>
        <c:dLbl>
          <c:idx val="0"/>
          <c:layout>
            <c:manualLayout>
              <c:x val="0.12820512820512803"/>
              <c:y val="0.1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alpha val="93000"/>
                    </a:srgb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bg2">
              <a:lumMod val="25000"/>
            </a:schemeClr>
          </a:solidFill>
          <a:ln>
            <a:noFill/>
          </a:ln>
          <a:effectLst>
            <a:outerShdw blurRad="57150" dist="19050" dir="5400000" algn="ctr" rotWithShape="0">
              <a:srgbClr val="000000">
                <a:alpha val="63000"/>
              </a:srgbClr>
            </a:outerShdw>
          </a:effectLst>
          <a:scene3d>
            <a:camera prst="orthographicFront"/>
            <a:lightRig rig="threePt" dir="t">
              <a:rot lat="0" lon="0" rev="1800000"/>
            </a:lightRig>
          </a:scene3d>
          <a:sp3d>
            <a:bevelT/>
          </a:sp3d>
        </c:spPr>
        <c:dLbl>
          <c:idx val="0"/>
          <c:layout>
            <c:manualLayout>
              <c:x val="-9.9715099715099731E-2"/>
              <c:y val="-0.2055555555555555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alpha val="72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sunset" dir="t">
              <a:rot lat="0" lon="0" rev="1800000"/>
            </a:lightRig>
          </a:scene3d>
          <a:sp3d>
            <a:bevel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C00000"/>
          </a:solidFill>
          <a:ln>
            <a:noFill/>
          </a:ln>
          <a:effectLst>
            <a:outerShdw blurRad="57150" dist="19050" dir="5400000" algn="ctr" rotWithShape="0">
              <a:srgbClr val="000000">
                <a:alpha val="63000"/>
              </a:srgbClr>
            </a:outerShdw>
          </a:effectLst>
          <a:scene3d>
            <a:camera prst="orthographicFront"/>
            <a:lightRig rig="sunset" dir="t"/>
          </a:scene3d>
          <a:sp3d>
            <a:bevelT/>
          </a:sp3d>
        </c:spPr>
        <c:dLbl>
          <c:idx val="0"/>
          <c:layout>
            <c:manualLayout>
              <c:x val="0.12820512820512803"/>
              <c:y val="0.1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alpha val="93000"/>
                    </a:srgb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bg2">
              <a:lumMod val="25000"/>
            </a:schemeClr>
          </a:solidFill>
          <a:ln>
            <a:noFill/>
          </a:ln>
          <a:effectLst>
            <a:outerShdw blurRad="57150" dist="19050" dir="5400000" algn="ctr" rotWithShape="0">
              <a:srgbClr val="000000">
                <a:alpha val="63000"/>
              </a:srgbClr>
            </a:outerShdw>
          </a:effectLst>
          <a:scene3d>
            <a:camera prst="orthographicFront"/>
            <a:lightRig rig="threePt" dir="t">
              <a:rot lat="0" lon="0" rev="1800000"/>
            </a:lightRig>
          </a:scene3d>
          <a:sp3d>
            <a:bevelT/>
          </a:sp3d>
        </c:spPr>
        <c:dLbl>
          <c:idx val="0"/>
          <c:layout>
            <c:manualLayout>
              <c:x val="-9.9715099715099731E-2"/>
              <c:y val="-0.2055555555555555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alpha val="72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Pivot_Table!$B$13</c:f>
              <c:strCache>
                <c:ptCount val="1"/>
                <c:pt idx="0">
                  <c:v>Total</c:v>
                </c:pt>
              </c:strCache>
            </c:strRef>
          </c:tx>
          <c:spPr>
            <a:scene3d>
              <a:camera prst="orthographicFront"/>
              <a:lightRig rig="sunset" dir="t">
                <a:rot lat="0" lon="0" rev="1800000"/>
              </a:lightRig>
            </a:scene3d>
            <a:sp3d>
              <a:bevelT/>
            </a:sp3d>
          </c:spPr>
          <c:dPt>
            <c:idx val="0"/>
            <c:bubble3D val="0"/>
            <c:spPr>
              <a:solidFill>
                <a:srgbClr val="C00000"/>
              </a:solidFill>
              <a:ln>
                <a:noFill/>
              </a:ln>
              <a:effectLst>
                <a:outerShdw blurRad="57150" dist="19050" dir="5400000" algn="ctr" rotWithShape="0">
                  <a:srgbClr val="000000">
                    <a:alpha val="63000"/>
                  </a:srgbClr>
                </a:outerShdw>
              </a:effectLst>
              <a:scene3d>
                <a:camera prst="orthographicFront"/>
                <a:lightRig rig="sunset" dir="t"/>
              </a:scene3d>
              <a:sp3d>
                <a:bevelT/>
              </a:sp3d>
            </c:spPr>
            <c:extLst>
              <c:ext xmlns:c16="http://schemas.microsoft.com/office/drawing/2014/chart" uri="{C3380CC4-5D6E-409C-BE32-E72D297353CC}">
                <c16:uniqueId val="{00000001-0CF6-4F83-9451-BE418CF3CDDE}"/>
              </c:ext>
            </c:extLst>
          </c:dPt>
          <c:dPt>
            <c:idx val="1"/>
            <c:bubble3D val="0"/>
            <c:spPr>
              <a:solidFill>
                <a:schemeClr val="bg2">
                  <a:lumMod val="25000"/>
                </a:schemeClr>
              </a:solidFill>
              <a:ln>
                <a:noFill/>
              </a:ln>
              <a:effectLst>
                <a:outerShdw blurRad="57150" dist="19050" dir="5400000" algn="ctr" rotWithShape="0">
                  <a:srgbClr val="000000">
                    <a:alpha val="63000"/>
                  </a:srgbClr>
                </a:outerShdw>
              </a:effectLst>
              <a:scene3d>
                <a:camera prst="orthographicFront"/>
                <a:lightRig rig="threePt" dir="t">
                  <a:rot lat="0" lon="0" rev="1800000"/>
                </a:lightRig>
              </a:scene3d>
              <a:sp3d>
                <a:bevelT/>
              </a:sp3d>
            </c:spPr>
            <c:extLst>
              <c:ext xmlns:c16="http://schemas.microsoft.com/office/drawing/2014/chart" uri="{C3380CC4-5D6E-409C-BE32-E72D297353CC}">
                <c16:uniqueId val="{00000003-0CF6-4F83-9451-BE418CF3CDDE}"/>
              </c:ext>
            </c:extLst>
          </c:dPt>
          <c:dLbls>
            <c:dLbl>
              <c:idx val="0"/>
              <c:layout>
                <c:manualLayout>
                  <c:x val="0.12820512820512803"/>
                  <c:y val="0.1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alpha val="93000"/>
                        </a:srgb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CF6-4F83-9451-BE418CF3CDDE}"/>
                </c:ext>
              </c:extLst>
            </c:dLbl>
            <c:dLbl>
              <c:idx val="1"/>
              <c:layout>
                <c:manualLayout>
                  <c:x val="-9.9715099715099731E-2"/>
                  <c:y val="-0.2055555555555555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alpha val="72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CF6-4F83-9451-BE418CF3CDDE}"/>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Pivot_Table!$A$14:$A$16</c:f>
              <c:strCache>
                <c:ptCount val="2"/>
                <c:pt idx="0">
                  <c:v>Movie</c:v>
                </c:pt>
                <c:pt idx="1">
                  <c:v>Tv Show</c:v>
                </c:pt>
              </c:strCache>
            </c:strRef>
          </c:cat>
          <c:val>
            <c:numRef>
              <c:f>Pivot_Table!$B$14:$B$16</c:f>
              <c:numCache>
                <c:formatCode>0.00%</c:formatCode>
                <c:ptCount val="2"/>
                <c:pt idx="0">
                  <c:v>0.57899999999999996</c:v>
                </c:pt>
                <c:pt idx="1">
                  <c:v>0.42099999999999999</c:v>
                </c:pt>
              </c:numCache>
            </c:numRef>
          </c:val>
          <c:extLst>
            <c:ext xmlns:c16="http://schemas.microsoft.com/office/drawing/2014/chart" uri="{C3380CC4-5D6E-409C-BE32-E72D297353CC}">
              <c16:uniqueId val="{00000004-0CF6-4F83-9451-BE418CF3CDDE}"/>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a:scene3d>
      <a:camera prst="orthographicFront"/>
      <a:lightRig rig="flood" dir="t"/>
    </a:scene3d>
    <a:sp3d prstMaterial="plastic">
      <a:bevelT/>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647700</xdr:colOff>
      <xdr:row>18</xdr:row>
      <xdr:rowOff>91440</xdr:rowOff>
    </xdr:from>
    <xdr:to>
      <xdr:col>2</xdr:col>
      <xdr:colOff>495300</xdr:colOff>
      <xdr:row>21</xdr:row>
      <xdr:rowOff>106680</xdr:rowOff>
    </xdr:to>
    <xdr:sp macro="" textlink="$B$18">
      <xdr:nvSpPr>
        <xdr:cNvPr id="2" name="Rectangle: Rounded Corners 1">
          <a:extLst>
            <a:ext uri="{FF2B5EF4-FFF2-40B4-BE49-F238E27FC236}">
              <a16:creationId xmlns:a16="http://schemas.microsoft.com/office/drawing/2014/main" id="{D6D50FDF-E487-E79A-0CC7-A41F5FAE6523}"/>
            </a:ext>
          </a:extLst>
        </xdr:cNvPr>
        <xdr:cNvSpPr/>
      </xdr:nvSpPr>
      <xdr:spPr>
        <a:xfrm>
          <a:off x="1508760" y="3383280"/>
          <a:ext cx="1325880" cy="563880"/>
        </a:xfrm>
        <a:prstGeom prst="roundRect">
          <a:avLst/>
        </a:prstGeom>
        <a:ln>
          <a:noFill/>
        </a:ln>
        <a:effectLst>
          <a:outerShdw blurRad="107950" dist="12700" dir="5400000" algn="ctr">
            <a:srgbClr val="000000"/>
          </a:outerShdw>
        </a:effectLst>
        <a:scene3d>
          <a:camera prst="orthographicFront">
            <a:rot lat="0" lon="0" rev="0"/>
          </a:camera>
          <a:lightRig rig="flood" dir="t">
            <a:rot lat="0" lon="0" rev="1800000"/>
          </a:lightRig>
        </a:scene3d>
        <a:sp3d extrusionH="76200" contourW="44450" prstMaterial="plastic">
          <a:bevelT w="63500" h="63500"/>
          <a:bevelB/>
          <a:extrusionClr>
            <a:schemeClr val="tx1">
              <a:lumMod val="95000"/>
              <a:lumOff val="5000"/>
            </a:schemeClr>
          </a:extrusionClr>
          <a:contourClr>
            <a:schemeClr val="tx1"/>
          </a:contourClr>
        </a:sp3d>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marL="0" indent="0" algn="ctr"/>
          <a:r>
            <a:rPr lang="en-US" sz="1100" b="1" i="0" u="none" strike="noStrike">
              <a:ln>
                <a:noFill/>
              </a:ln>
              <a:solidFill>
                <a:schemeClr val="bg1"/>
              </a:solidFill>
              <a:effectLst>
                <a:reflection blurRad="6350" stA="55000" endA="300" endPos="45500" dir="5400000" sy="-100000" algn="bl" rotWithShape="0"/>
              </a:effectLst>
              <a:latin typeface="Calibri"/>
              <a:ea typeface="Calibri"/>
              <a:cs typeface="Calibri"/>
            </a:rPr>
            <a:t>TV Shows</a:t>
          </a:r>
        </a:p>
        <a:p>
          <a:pPr marL="0" indent="0" algn="ctr"/>
          <a:fld id="{49DD2DB7-6E88-4332-AB57-EE609EE0E68B}" type="TxLink">
            <a:rPr lang="en-US" sz="1100" b="1" i="0" u="none" strike="noStrike">
              <a:ln>
                <a:noFill/>
              </a:ln>
              <a:solidFill>
                <a:schemeClr val="bg1"/>
              </a:solidFill>
              <a:effectLst>
                <a:reflection blurRad="6350" stA="55000" endA="300" endPos="45500" dir="5400000" sy="-100000" algn="bl" rotWithShape="0"/>
              </a:effectLst>
              <a:latin typeface="Calibri"/>
              <a:ea typeface="Calibri"/>
              <a:cs typeface="Calibri"/>
            </a:rPr>
            <a:pPr marL="0" indent="0" algn="ctr"/>
            <a:t>42%</a:t>
          </a:fld>
          <a:endParaRPr lang="en-US" sz="1100" b="1" i="0" u="none" strike="noStrike">
            <a:ln>
              <a:noFill/>
            </a:ln>
            <a:solidFill>
              <a:schemeClr val="bg1"/>
            </a:solidFill>
            <a:effectLst>
              <a:reflection blurRad="6350" stA="55000" endA="300" endPos="45500" dir="5400000" sy="-100000" algn="bl" rotWithShape="0"/>
            </a:effectLst>
            <a:latin typeface="Calibri"/>
            <a:ea typeface="Calibri"/>
            <a:cs typeface="Calibri"/>
          </a:endParaRPr>
        </a:p>
      </xdr:txBody>
    </xdr:sp>
    <xdr:clientData/>
  </xdr:twoCellAnchor>
  <xdr:twoCellAnchor>
    <xdr:from>
      <xdr:col>0</xdr:col>
      <xdr:colOff>0</xdr:colOff>
      <xdr:row>18</xdr:row>
      <xdr:rowOff>114300</xdr:rowOff>
    </xdr:from>
    <xdr:to>
      <xdr:col>1</xdr:col>
      <xdr:colOff>464820</xdr:colOff>
      <xdr:row>21</xdr:row>
      <xdr:rowOff>129540</xdr:rowOff>
    </xdr:to>
    <xdr:sp macro="" textlink="$B$17">
      <xdr:nvSpPr>
        <xdr:cNvPr id="3" name="Rectangle: Rounded Corners 2">
          <a:extLst>
            <a:ext uri="{FF2B5EF4-FFF2-40B4-BE49-F238E27FC236}">
              <a16:creationId xmlns:a16="http://schemas.microsoft.com/office/drawing/2014/main" id="{5851E30B-6DAB-2B64-6D70-CCD4CA53159D}"/>
            </a:ext>
          </a:extLst>
        </xdr:cNvPr>
        <xdr:cNvSpPr/>
      </xdr:nvSpPr>
      <xdr:spPr>
        <a:xfrm>
          <a:off x="0" y="3406140"/>
          <a:ext cx="1325880" cy="563880"/>
        </a:xfrm>
        <a:prstGeom prst="roundRect">
          <a:avLst/>
        </a:prstGeom>
        <a:ln>
          <a:noFill/>
        </a:ln>
        <a:effectLst>
          <a:outerShdw blurRad="107950" dist="12700" dir="5400000" algn="ctr">
            <a:srgbClr val="000000"/>
          </a:outerShdw>
        </a:effectLst>
        <a:scene3d>
          <a:camera prst="orthographicFront">
            <a:rot lat="0" lon="0" rev="0"/>
          </a:camera>
          <a:lightRig rig="flood" dir="t">
            <a:rot lat="0" lon="0" rev="1800000"/>
          </a:lightRig>
        </a:scene3d>
        <a:sp3d extrusionH="76200" contourW="44450" prstMaterial="plastic">
          <a:bevelT w="63500" h="63500"/>
          <a:bevelB/>
          <a:extrusionClr>
            <a:schemeClr val="tx1">
              <a:lumMod val="95000"/>
              <a:lumOff val="5000"/>
            </a:schemeClr>
          </a:extrusionClr>
          <a:contourClr>
            <a:schemeClr val="tx1"/>
          </a:contourClr>
        </a:sp3d>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marL="0" indent="0" algn="ctr"/>
          <a:r>
            <a:rPr lang="en-US" sz="1100" b="1" i="0" u="none" strike="noStrike">
              <a:ln>
                <a:noFill/>
              </a:ln>
              <a:solidFill>
                <a:schemeClr val="bg1"/>
              </a:solidFill>
              <a:effectLst>
                <a:reflection blurRad="6350" stA="55000" endA="300" endPos="45500" dir="5400000" sy="-100000" algn="bl" rotWithShape="0"/>
              </a:effectLst>
              <a:latin typeface="Calibri"/>
              <a:ea typeface="Calibri"/>
              <a:cs typeface="Calibri"/>
            </a:rPr>
            <a:t>Movies</a:t>
          </a:r>
        </a:p>
        <a:p>
          <a:pPr marL="0" indent="0" algn="ctr"/>
          <a:fld id="{B3CE916A-8A0E-41E1-AB6A-CFE289E593FB}" type="TxLink">
            <a:rPr lang="en-US" sz="1100" b="1" i="0" u="none" strike="noStrike">
              <a:ln>
                <a:noFill/>
              </a:ln>
              <a:solidFill>
                <a:schemeClr val="bg1"/>
              </a:solidFill>
              <a:effectLst>
                <a:reflection blurRad="6350" stA="55000" endA="300" endPos="45500" dir="5400000" sy="-100000" algn="bl" rotWithShape="0"/>
              </a:effectLst>
              <a:latin typeface="Calibri"/>
              <a:ea typeface="Calibri"/>
              <a:cs typeface="Calibri"/>
            </a:rPr>
            <a:pPr marL="0" indent="0" algn="ctr"/>
            <a:t>58%</a:t>
          </a:fld>
          <a:endParaRPr lang="en-US" sz="1100" b="1" i="0" u="none" strike="noStrike">
            <a:ln>
              <a:noFill/>
            </a:ln>
            <a:solidFill>
              <a:schemeClr val="bg1"/>
            </a:solidFill>
            <a:effectLst>
              <a:reflection blurRad="6350" stA="55000" endA="300" endPos="45500" dir="5400000" sy="-100000" algn="bl" rotWithShape="0"/>
            </a:effectLst>
            <a:latin typeface="Calibri"/>
            <a:ea typeface="Calibri"/>
            <a:cs typeface="Calibri"/>
          </a:endParaRPr>
        </a:p>
      </xdr:txBody>
    </xdr:sp>
    <xdr:clientData/>
  </xdr:twoCellAnchor>
  <xdr:twoCellAnchor>
    <xdr:from>
      <xdr:col>3</xdr:col>
      <xdr:colOff>53340</xdr:colOff>
      <xdr:row>18</xdr:row>
      <xdr:rowOff>53340</xdr:rowOff>
    </xdr:from>
    <xdr:to>
      <xdr:col>4</xdr:col>
      <xdr:colOff>411480</xdr:colOff>
      <xdr:row>21</xdr:row>
      <xdr:rowOff>68580</xdr:rowOff>
    </xdr:to>
    <xdr:sp macro="" textlink="$D$15">
      <xdr:nvSpPr>
        <xdr:cNvPr id="4" name="Rectangle: Rounded Corners 3">
          <a:extLst>
            <a:ext uri="{FF2B5EF4-FFF2-40B4-BE49-F238E27FC236}">
              <a16:creationId xmlns:a16="http://schemas.microsoft.com/office/drawing/2014/main" id="{21E32D95-88E4-4E09-16F1-22F40ABE3326}"/>
            </a:ext>
          </a:extLst>
        </xdr:cNvPr>
        <xdr:cNvSpPr/>
      </xdr:nvSpPr>
      <xdr:spPr>
        <a:xfrm>
          <a:off x="2682240" y="3345180"/>
          <a:ext cx="1089660" cy="563880"/>
        </a:xfrm>
        <a:prstGeom prst="roundRect">
          <a:avLst/>
        </a:prstGeom>
        <a:ln>
          <a:noFill/>
        </a:ln>
        <a:effectLst>
          <a:outerShdw blurRad="107950" dist="12700" dir="5400000" algn="ctr">
            <a:srgbClr val="000000"/>
          </a:outerShdw>
        </a:effectLst>
        <a:scene3d>
          <a:camera prst="orthographicFront">
            <a:rot lat="0" lon="0" rev="0"/>
          </a:camera>
          <a:lightRig rig="flood" dir="t">
            <a:rot lat="0" lon="0" rev="1800000"/>
          </a:lightRig>
        </a:scene3d>
        <a:sp3d extrusionH="76200" contourW="44450" prstMaterial="plastic">
          <a:bevelT w="63500" h="63500"/>
          <a:bevelB/>
          <a:extrusionClr>
            <a:schemeClr val="tx1">
              <a:lumMod val="95000"/>
              <a:lumOff val="5000"/>
            </a:schemeClr>
          </a:extrusionClr>
          <a:contourClr>
            <a:schemeClr val="tx1"/>
          </a:contourClr>
        </a:sp3d>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marL="0" indent="0" algn="ctr"/>
          <a:r>
            <a:rPr lang="en-US" sz="1100" b="1" i="0" u="none" strike="noStrike">
              <a:ln>
                <a:noFill/>
              </a:ln>
              <a:solidFill>
                <a:schemeClr val="bg1"/>
              </a:solidFill>
              <a:effectLst>
                <a:reflection blurRad="6350" stA="55000" endA="300" endPos="45500" dir="5400000" sy="-100000" algn="bl" rotWithShape="0"/>
              </a:effectLst>
              <a:latin typeface="Calibri"/>
              <a:ea typeface="Calibri"/>
              <a:cs typeface="Calibri"/>
            </a:rPr>
            <a:t>Avg Budget</a:t>
          </a:r>
        </a:p>
        <a:p>
          <a:pPr marL="0" indent="0" algn="ctr"/>
          <a:fld id="{FB2C0635-F946-44B6-9199-C5918A952E11}" type="TxLink">
            <a:rPr lang="en-US" sz="1100" b="1" i="0" u="none" strike="noStrike">
              <a:ln>
                <a:noFill/>
              </a:ln>
              <a:solidFill>
                <a:schemeClr val="bg1"/>
              </a:solidFill>
              <a:effectLst>
                <a:reflection blurRad="6350" stA="55000" endA="300" endPos="45500" dir="5400000" sy="-100000" algn="bl" rotWithShape="0"/>
              </a:effectLst>
              <a:latin typeface="Calibri"/>
              <a:ea typeface="Calibri"/>
              <a:cs typeface="Calibri"/>
            </a:rPr>
            <a:pPr marL="0" indent="0" algn="ctr"/>
            <a:t>$51.7 M</a:t>
          </a:fld>
          <a:endParaRPr lang="en-US" sz="1100" b="1" i="0" u="none" strike="noStrike">
            <a:ln>
              <a:noFill/>
            </a:ln>
            <a:solidFill>
              <a:schemeClr val="bg1"/>
            </a:solidFill>
            <a:effectLst>
              <a:reflection blurRad="6350" stA="55000" endA="300" endPos="45500" dir="5400000" sy="-100000" algn="bl" rotWithShape="0"/>
            </a:effectLst>
            <a:latin typeface="Calibri"/>
            <a:ea typeface="Calibri"/>
            <a:cs typeface="Calibri"/>
          </a:endParaRPr>
        </a:p>
      </xdr:txBody>
    </xdr:sp>
    <xdr:clientData/>
  </xdr:twoCellAnchor>
  <xdr:twoCellAnchor>
    <xdr:from>
      <xdr:col>5</xdr:col>
      <xdr:colOff>586740</xdr:colOff>
      <xdr:row>18</xdr:row>
      <xdr:rowOff>7620</xdr:rowOff>
    </xdr:from>
    <xdr:to>
      <xdr:col>7</xdr:col>
      <xdr:colOff>487680</xdr:colOff>
      <xdr:row>21</xdr:row>
      <xdr:rowOff>22860</xdr:rowOff>
    </xdr:to>
    <xdr:sp macro="" textlink="$G$15">
      <xdr:nvSpPr>
        <xdr:cNvPr id="5" name="Rectangle: Rounded Corners 4">
          <a:extLst>
            <a:ext uri="{FF2B5EF4-FFF2-40B4-BE49-F238E27FC236}">
              <a16:creationId xmlns:a16="http://schemas.microsoft.com/office/drawing/2014/main" id="{9A69534B-DF6F-C7A0-BA3A-DB697F2B55A9}"/>
            </a:ext>
          </a:extLst>
        </xdr:cNvPr>
        <xdr:cNvSpPr/>
      </xdr:nvSpPr>
      <xdr:spPr>
        <a:xfrm>
          <a:off x="4556760" y="3299460"/>
          <a:ext cx="1234440" cy="563880"/>
        </a:xfrm>
        <a:prstGeom prst="roundRect">
          <a:avLst/>
        </a:prstGeom>
        <a:ln>
          <a:noFill/>
        </a:ln>
        <a:effectLst>
          <a:outerShdw blurRad="107950" dist="12700" dir="5400000" algn="ctr">
            <a:srgbClr val="000000"/>
          </a:outerShdw>
        </a:effectLst>
        <a:scene3d>
          <a:camera prst="orthographicFront">
            <a:rot lat="0" lon="0" rev="0"/>
          </a:camera>
          <a:lightRig rig="flood" dir="t">
            <a:rot lat="0" lon="0" rev="1800000"/>
          </a:lightRig>
        </a:scene3d>
        <a:sp3d extrusionH="76200" contourW="44450" prstMaterial="plastic">
          <a:bevelT w="63500" h="63500"/>
          <a:bevelB/>
          <a:extrusionClr>
            <a:schemeClr val="tx1">
              <a:lumMod val="95000"/>
              <a:lumOff val="5000"/>
            </a:schemeClr>
          </a:extrusionClr>
          <a:contourClr>
            <a:schemeClr val="tx1"/>
          </a:contourClr>
        </a:sp3d>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marL="0" indent="0" algn="ctr"/>
          <a:r>
            <a:rPr lang="en-US" sz="1100" b="1" i="0" u="none" strike="noStrike">
              <a:ln>
                <a:noFill/>
              </a:ln>
              <a:solidFill>
                <a:schemeClr val="bg1"/>
              </a:solidFill>
              <a:effectLst>
                <a:reflection blurRad="6350" stA="55000" endA="300" endPos="45500" dir="5400000" sy="-100000" algn="bl" rotWithShape="0"/>
              </a:effectLst>
              <a:latin typeface="Calibri"/>
              <a:ea typeface="Calibri"/>
              <a:cs typeface="Calibri"/>
            </a:rPr>
            <a:t>Total Views</a:t>
          </a:r>
        </a:p>
        <a:p>
          <a:pPr marL="0" indent="0" algn="ctr"/>
          <a:fld id="{9E5F0AC0-5D45-41E9-8163-5C110C94D851}" type="TxLink">
            <a:rPr lang="en-US" sz="1100" b="1" i="0" u="none" strike="noStrike">
              <a:ln>
                <a:noFill/>
              </a:ln>
              <a:solidFill>
                <a:schemeClr val="bg1"/>
              </a:solidFill>
              <a:effectLst>
                <a:reflection blurRad="6350" stA="55000" endA="300" endPos="45500" dir="5400000" sy="-100000" algn="bl" rotWithShape="0"/>
              </a:effectLst>
              <a:latin typeface="Calibri"/>
              <a:ea typeface="Calibri"/>
              <a:cs typeface="Calibri"/>
            </a:rPr>
            <a:pPr marL="0" indent="0" algn="ctr"/>
            <a:t>75.3 B</a:t>
          </a:fld>
          <a:endParaRPr lang="en-US" sz="1100" b="1" i="0" u="none" strike="noStrike">
            <a:ln>
              <a:noFill/>
            </a:ln>
            <a:solidFill>
              <a:schemeClr val="bg1"/>
            </a:solidFill>
            <a:effectLst>
              <a:reflection blurRad="6350" stA="55000" endA="300" endPos="45500" dir="5400000" sy="-100000" algn="bl" rotWithShape="0"/>
            </a:effectLst>
            <a:latin typeface="Calibri"/>
            <a:ea typeface="Calibri"/>
            <a:cs typeface="Calibri"/>
          </a:endParaRPr>
        </a:p>
      </xdr:txBody>
    </xdr:sp>
    <xdr:clientData/>
  </xdr:twoCellAnchor>
  <xdr:twoCellAnchor>
    <xdr:from>
      <xdr:col>10</xdr:col>
      <xdr:colOff>685800</xdr:colOff>
      <xdr:row>24</xdr:row>
      <xdr:rowOff>114300</xdr:rowOff>
    </xdr:from>
    <xdr:to>
      <xdr:col>12</xdr:col>
      <xdr:colOff>449580</xdr:colOff>
      <xdr:row>27</xdr:row>
      <xdr:rowOff>129540</xdr:rowOff>
    </xdr:to>
    <xdr:sp macro="" textlink="$L$23">
      <xdr:nvSpPr>
        <xdr:cNvPr id="6" name="Rectangle: Rounded Corners 5">
          <a:extLst>
            <a:ext uri="{FF2B5EF4-FFF2-40B4-BE49-F238E27FC236}">
              <a16:creationId xmlns:a16="http://schemas.microsoft.com/office/drawing/2014/main" id="{7CBFEA06-59D4-8CD4-1A13-01C01E6AE2BD}"/>
            </a:ext>
          </a:extLst>
        </xdr:cNvPr>
        <xdr:cNvSpPr/>
      </xdr:nvSpPr>
      <xdr:spPr>
        <a:xfrm>
          <a:off x="7818120" y="4503420"/>
          <a:ext cx="2118360" cy="563880"/>
        </a:xfrm>
        <a:prstGeom prst="roundRect">
          <a:avLst/>
        </a:prstGeom>
        <a:ln>
          <a:noFill/>
        </a:ln>
        <a:effectLst>
          <a:outerShdw blurRad="107950" dist="12700" dir="5400000" algn="ctr">
            <a:srgbClr val="000000"/>
          </a:outerShdw>
        </a:effectLst>
        <a:scene3d>
          <a:camera prst="orthographicFront">
            <a:rot lat="0" lon="0" rev="0"/>
          </a:camera>
          <a:lightRig rig="flood" dir="t">
            <a:rot lat="0" lon="0" rev="1800000"/>
          </a:lightRig>
        </a:scene3d>
        <a:sp3d extrusionH="76200" contourW="44450" prstMaterial="plastic">
          <a:bevelT w="63500" h="63500"/>
          <a:bevelB/>
          <a:extrusionClr>
            <a:schemeClr val="tx1">
              <a:lumMod val="95000"/>
              <a:lumOff val="5000"/>
            </a:schemeClr>
          </a:extrusionClr>
          <a:contourClr>
            <a:schemeClr val="tx1"/>
          </a:contourClr>
        </a:sp3d>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marL="0" indent="0" algn="ctr"/>
          <a:r>
            <a:rPr lang="en-US" sz="1100" b="1" i="0" u="none" strike="noStrike">
              <a:ln>
                <a:noFill/>
              </a:ln>
              <a:solidFill>
                <a:schemeClr val="bg1"/>
              </a:solidFill>
              <a:effectLst>
                <a:reflection blurRad="6350" stA="55000" endA="300" endPos="45500" dir="5400000" sy="-100000" algn="bl" rotWithShape="0"/>
              </a:effectLst>
              <a:latin typeface="Calibri"/>
              <a:ea typeface="Calibri"/>
              <a:cs typeface="Calibri"/>
            </a:rPr>
            <a:t>Total Titles</a:t>
          </a:r>
        </a:p>
        <a:p>
          <a:pPr marL="0" indent="0" algn="ctr"/>
          <a:fld id="{0B80DE9C-BDD7-4484-9639-A7122D617E13}" type="TxLink">
            <a:rPr lang="en-US" sz="1100" b="1" i="0" u="none" strike="noStrike">
              <a:ln>
                <a:noFill/>
              </a:ln>
              <a:solidFill>
                <a:schemeClr val="bg1"/>
              </a:solidFill>
              <a:effectLst>
                <a:reflection blurRad="6350" stA="55000" endA="300" endPos="45500" dir="5400000" sy="-100000" algn="bl" rotWithShape="0"/>
              </a:effectLst>
              <a:latin typeface="Calibri"/>
              <a:ea typeface="Calibri"/>
              <a:cs typeface="Calibri"/>
            </a:rPr>
            <a:pPr marL="0" indent="0" algn="ctr"/>
            <a:t>1000</a:t>
          </a:fld>
          <a:endParaRPr lang="en-US" sz="1100" b="1" i="0" u="none" strike="noStrike">
            <a:ln>
              <a:noFill/>
            </a:ln>
            <a:solidFill>
              <a:schemeClr val="bg1"/>
            </a:solidFill>
            <a:effectLst>
              <a:reflection blurRad="6350" stA="55000" endA="300" endPos="45500" dir="5400000" sy="-100000" algn="bl" rotWithShape="0"/>
            </a:effectLst>
            <a:latin typeface="Calibri"/>
            <a:ea typeface="Calibri"/>
            <a:cs typeface="Calibri"/>
          </a:endParaRPr>
        </a:p>
      </xdr:txBody>
    </xdr:sp>
    <xdr:clientData/>
  </xdr:twoCellAnchor>
  <xdr:twoCellAnchor>
    <xdr:from>
      <xdr:col>37</xdr:col>
      <xdr:colOff>15240</xdr:colOff>
      <xdr:row>18</xdr:row>
      <xdr:rowOff>99060</xdr:rowOff>
    </xdr:from>
    <xdr:to>
      <xdr:col>39</xdr:col>
      <xdr:colOff>182880</xdr:colOff>
      <xdr:row>21</xdr:row>
      <xdr:rowOff>114300</xdr:rowOff>
    </xdr:to>
    <xdr:sp macro="" textlink="$AN$18">
      <xdr:nvSpPr>
        <xdr:cNvPr id="7" name="Rectangle: Rounded Corners 6">
          <a:extLst>
            <a:ext uri="{FF2B5EF4-FFF2-40B4-BE49-F238E27FC236}">
              <a16:creationId xmlns:a16="http://schemas.microsoft.com/office/drawing/2014/main" id="{6447E23A-B3FB-4FB0-8779-4EABB9CB0D77}"/>
            </a:ext>
          </a:extLst>
        </xdr:cNvPr>
        <xdr:cNvSpPr/>
      </xdr:nvSpPr>
      <xdr:spPr>
        <a:xfrm>
          <a:off x="34442400" y="3390900"/>
          <a:ext cx="1645920" cy="563880"/>
        </a:xfrm>
        <a:prstGeom prst="roundRect">
          <a:avLst/>
        </a:prstGeom>
        <a:ln>
          <a:noFill/>
        </a:ln>
        <a:effectLst>
          <a:outerShdw blurRad="107950" dist="12700" dir="5400000" algn="ctr">
            <a:srgbClr val="000000"/>
          </a:outerShdw>
        </a:effectLst>
        <a:scene3d>
          <a:camera prst="orthographicFront">
            <a:rot lat="0" lon="0" rev="0"/>
          </a:camera>
          <a:lightRig rig="flood" dir="t">
            <a:rot lat="0" lon="0" rev="1800000"/>
          </a:lightRig>
        </a:scene3d>
        <a:sp3d extrusionH="76200" contourW="44450" prstMaterial="plastic">
          <a:bevelT w="63500" h="63500"/>
          <a:bevelB/>
          <a:extrusionClr>
            <a:schemeClr val="tx1">
              <a:lumMod val="95000"/>
              <a:lumOff val="5000"/>
            </a:schemeClr>
          </a:extrusionClr>
          <a:contourClr>
            <a:schemeClr val="tx1"/>
          </a:contourClr>
        </a:sp3d>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marL="0" indent="0" algn="ctr"/>
          <a:r>
            <a:rPr lang="en-US" sz="1100" b="1" i="0" u="none" strike="noStrike">
              <a:ln>
                <a:noFill/>
              </a:ln>
              <a:solidFill>
                <a:schemeClr val="bg1"/>
              </a:solidFill>
              <a:effectLst>
                <a:reflection blurRad="6350" stA="55000" endA="300" endPos="45500" dir="5400000" sy="-100000" algn="bl" rotWithShape="0"/>
              </a:effectLst>
              <a:latin typeface="Calibri"/>
              <a:ea typeface="Calibri"/>
              <a:cs typeface="Calibri"/>
            </a:rPr>
            <a:t>Original Contents</a:t>
          </a:r>
        </a:p>
        <a:p>
          <a:pPr marL="0" indent="0" algn="ctr"/>
          <a:fld id="{A3E340D6-D42E-4410-8186-111D1B0F498D}" type="TxLink">
            <a:rPr lang="en-US" sz="1100" b="1" i="0" u="none" strike="noStrike">
              <a:ln>
                <a:noFill/>
              </a:ln>
              <a:solidFill>
                <a:schemeClr val="bg1"/>
              </a:solidFill>
              <a:effectLst>
                <a:reflection blurRad="6350" stA="55000" endA="300" endPos="45500" dir="5400000" sy="-100000" algn="bl" rotWithShape="0"/>
              </a:effectLst>
              <a:latin typeface="Calibri"/>
              <a:ea typeface="Calibri"/>
              <a:cs typeface="Calibri"/>
            </a:rPr>
            <a:pPr marL="0" indent="0" algn="ctr"/>
            <a:t>48%</a:t>
          </a:fld>
          <a:endParaRPr lang="en-US" sz="1100" b="1" i="0" u="none" strike="noStrike">
            <a:ln>
              <a:noFill/>
            </a:ln>
            <a:solidFill>
              <a:schemeClr val="bg1"/>
            </a:solidFill>
            <a:effectLst>
              <a:reflection blurRad="6350" stA="55000" endA="300" endPos="45500" dir="5400000" sy="-100000" algn="bl" rotWithShape="0"/>
            </a:effectLst>
            <a:latin typeface="Calibri"/>
            <a:ea typeface="Calibri"/>
            <a:cs typeface="Calibri"/>
          </a:endParaRPr>
        </a:p>
      </xdr:txBody>
    </xdr:sp>
    <xdr:clientData/>
  </xdr:twoCellAnchor>
  <xdr:twoCellAnchor>
    <xdr:from>
      <xdr:col>39</xdr:col>
      <xdr:colOff>449580</xdr:colOff>
      <xdr:row>18</xdr:row>
      <xdr:rowOff>68580</xdr:rowOff>
    </xdr:from>
    <xdr:to>
      <xdr:col>40</xdr:col>
      <xdr:colOff>464820</xdr:colOff>
      <xdr:row>21</xdr:row>
      <xdr:rowOff>83820</xdr:rowOff>
    </xdr:to>
    <xdr:sp macro="" textlink="$AN$17">
      <xdr:nvSpPr>
        <xdr:cNvPr id="8" name="Rectangle: Rounded Corners 7">
          <a:extLst>
            <a:ext uri="{FF2B5EF4-FFF2-40B4-BE49-F238E27FC236}">
              <a16:creationId xmlns:a16="http://schemas.microsoft.com/office/drawing/2014/main" id="{BF57E121-EC6B-4D8D-B067-9DD329CD9B9F}"/>
            </a:ext>
          </a:extLst>
        </xdr:cNvPr>
        <xdr:cNvSpPr/>
      </xdr:nvSpPr>
      <xdr:spPr>
        <a:xfrm>
          <a:off x="36355020" y="3360420"/>
          <a:ext cx="1569720" cy="563880"/>
        </a:xfrm>
        <a:prstGeom prst="roundRect">
          <a:avLst/>
        </a:prstGeom>
        <a:ln>
          <a:noFill/>
        </a:ln>
        <a:effectLst>
          <a:outerShdw blurRad="107950" dist="12700" dir="5400000" algn="ctr">
            <a:srgbClr val="000000"/>
          </a:outerShdw>
        </a:effectLst>
        <a:scene3d>
          <a:camera prst="orthographicFront">
            <a:rot lat="0" lon="0" rev="0"/>
          </a:camera>
          <a:lightRig rig="flood" dir="t">
            <a:rot lat="0" lon="0" rev="1800000"/>
          </a:lightRig>
        </a:scene3d>
        <a:sp3d extrusionH="76200" contourW="44450" prstMaterial="plastic">
          <a:bevelT w="63500" h="63500"/>
          <a:bevelB/>
          <a:extrusionClr>
            <a:schemeClr val="tx1">
              <a:lumMod val="95000"/>
              <a:lumOff val="5000"/>
            </a:schemeClr>
          </a:extrusionClr>
          <a:contourClr>
            <a:schemeClr val="tx1"/>
          </a:contourClr>
        </a:sp3d>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marL="0" indent="0" algn="ctr"/>
          <a:r>
            <a:rPr lang="en-US" sz="1100" b="1" i="0" u="none" strike="noStrike">
              <a:ln>
                <a:noFill/>
              </a:ln>
              <a:solidFill>
                <a:schemeClr val="bg1"/>
              </a:solidFill>
              <a:effectLst>
                <a:reflection blurRad="6350" stA="55000" endA="300" endPos="45500" dir="5400000" sy="-100000" algn="bl" rotWithShape="0"/>
              </a:effectLst>
              <a:latin typeface="Calibri"/>
              <a:ea typeface="Calibri"/>
              <a:cs typeface="Calibri"/>
            </a:rPr>
            <a:t>Licensed Contents</a:t>
          </a:r>
        </a:p>
        <a:p>
          <a:pPr marL="0" indent="0" algn="ctr"/>
          <a:fld id="{AFEA42BC-F513-4A03-9EC0-224A9D1DE047}" type="TxLink">
            <a:rPr lang="en-US" sz="1100" b="1" i="0" u="none" strike="noStrike">
              <a:ln>
                <a:noFill/>
              </a:ln>
              <a:solidFill>
                <a:schemeClr val="bg1"/>
              </a:solidFill>
              <a:effectLst>
                <a:reflection blurRad="6350" stA="55000" endA="300" endPos="45500" dir="5400000" sy="-100000" algn="bl" rotWithShape="0"/>
              </a:effectLst>
              <a:latin typeface="Calibri"/>
              <a:ea typeface="Calibri"/>
              <a:cs typeface="Calibri"/>
            </a:rPr>
            <a:pPr marL="0" indent="0" algn="ctr"/>
            <a:t>52%</a:t>
          </a:fld>
          <a:endParaRPr lang="en-US" sz="1100" b="1" i="0" u="none" strike="noStrike">
            <a:ln>
              <a:noFill/>
            </a:ln>
            <a:solidFill>
              <a:schemeClr val="bg1"/>
            </a:solidFill>
            <a:effectLst>
              <a:reflection blurRad="6350" stA="55000" endA="300" endPos="45500" dir="5400000" sy="-100000" algn="bl" rotWithShape="0"/>
            </a:effectLst>
            <a:latin typeface="Calibri"/>
            <a:ea typeface="Calibri"/>
            <a:cs typeface="Calibri"/>
          </a:endParaRPr>
        </a:p>
      </xdr:txBody>
    </xdr:sp>
    <xdr:clientData/>
  </xdr:twoCellAnchor>
  <xdr:twoCellAnchor>
    <xdr:from>
      <xdr:col>0</xdr:col>
      <xdr:colOff>0</xdr:colOff>
      <xdr:row>23</xdr:row>
      <xdr:rowOff>0</xdr:rowOff>
    </xdr:from>
    <xdr:to>
      <xdr:col>2</xdr:col>
      <xdr:colOff>335280</xdr:colOff>
      <xdr:row>35</xdr:row>
      <xdr:rowOff>91440</xdr:rowOff>
    </xdr:to>
    <xdr:graphicFrame macro="">
      <xdr:nvGraphicFramePr>
        <xdr:cNvPr id="9" name="Chart 8">
          <a:extLst>
            <a:ext uri="{FF2B5EF4-FFF2-40B4-BE49-F238E27FC236}">
              <a16:creationId xmlns:a16="http://schemas.microsoft.com/office/drawing/2014/main" id="{B2FC52E4-0E66-DBE9-A458-580AE9FE7D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457200</xdr:colOff>
      <xdr:row>25</xdr:row>
      <xdr:rowOff>175260</xdr:rowOff>
    </xdr:from>
    <xdr:to>
      <xdr:col>21</xdr:col>
      <xdr:colOff>190500</xdr:colOff>
      <xdr:row>40</xdr:row>
      <xdr:rowOff>175260</xdr:rowOff>
    </xdr:to>
    <xdr:graphicFrame macro="">
      <xdr:nvGraphicFramePr>
        <xdr:cNvPr id="10" name="Chart 9">
          <a:extLst>
            <a:ext uri="{FF2B5EF4-FFF2-40B4-BE49-F238E27FC236}">
              <a16:creationId xmlns:a16="http://schemas.microsoft.com/office/drawing/2014/main" id="{34F3CE32-A946-A3FD-D413-9AC26125FD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365760</xdr:colOff>
      <xdr:row>21</xdr:row>
      <xdr:rowOff>0</xdr:rowOff>
    </xdr:from>
    <xdr:to>
      <xdr:col>32</xdr:col>
      <xdr:colOff>274320</xdr:colOff>
      <xdr:row>34</xdr:row>
      <xdr:rowOff>152400</xdr:rowOff>
    </xdr:to>
    <xdr:graphicFrame macro="">
      <xdr:nvGraphicFramePr>
        <xdr:cNvPr id="11" name="Chart 10">
          <a:extLst>
            <a:ext uri="{FF2B5EF4-FFF2-40B4-BE49-F238E27FC236}">
              <a16:creationId xmlns:a16="http://schemas.microsoft.com/office/drawing/2014/main" id="{F7865138-D7F2-76F4-EE04-8653700E15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304800</xdr:colOff>
      <xdr:row>28</xdr:row>
      <xdr:rowOff>53340</xdr:rowOff>
    </xdr:from>
    <xdr:to>
      <xdr:col>12</xdr:col>
      <xdr:colOff>411480</xdr:colOff>
      <xdr:row>43</xdr:row>
      <xdr:rowOff>53340</xdr:rowOff>
    </xdr:to>
    <xdr:graphicFrame macro="">
      <xdr:nvGraphicFramePr>
        <xdr:cNvPr id="12" name="Chart 11">
          <a:extLst>
            <a:ext uri="{FF2B5EF4-FFF2-40B4-BE49-F238E27FC236}">
              <a16:creationId xmlns:a16="http://schemas.microsoft.com/office/drawing/2014/main" id="{CCAD9C0F-A044-24D4-CCA3-5DB6451CBE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160020</xdr:colOff>
      <xdr:row>26</xdr:row>
      <xdr:rowOff>22860</xdr:rowOff>
    </xdr:from>
    <xdr:to>
      <xdr:col>25</xdr:col>
      <xdr:colOff>838200</xdr:colOff>
      <xdr:row>38</xdr:row>
      <xdr:rowOff>30480</xdr:rowOff>
    </xdr:to>
    <xdr:graphicFrame macro="">
      <xdr:nvGraphicFramePr>
        <xdr:cNvPr id="13" name="Chart 12">
          <a:extLst>
            <a:ext uri="{FF2B5EF4-FFF2-40B4-BE49-F238E27FC236}">
              <a16:creationId xmlns:a16="http://schemas.microsoft.com/office/drawing/2014/main" id="{9B058B22-F170-D11A-0A7E-0AC0E35604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640080</xdr:colOff>
      <xdr:row>0</xdr:row>
      <xdr:rowOff>0</xdr:rowOff>
    </xdr:from>
    <xdr:to>
      <xdr:col>9</xdr:col>
      <xdr:colOff>525780</xdr:colOff>
      <xdr:row>5</xdr:row>
      <xdr:rowOff>7620</xdr:rowOff>
    </xdr:to>
    <mc:AlternateContent xmlns:mc="http://schemas.openxmlformats.org/markup-compatibility/2006" xmlns:a14="http://schemas.microsoft.com/office/drawing/2010/main">
      <mc:Choice Requires="a14">
        <xdr:graphicFrame macro="">
          <xdr:nvGraphicFramePr>
            <xdr:cNvPr id="15" name="Type">
              <a:extLst>
                <a:ext uri="{FF2B5EF4-FFF2-40B4-BE49-F238E27FC236}">
                  <a16:creationId xmlns:a16="http://schemas.microsoft.com/office/drawing/2014/main" id="{EF137561-ACF4-84DB-6129-927CDA337B42}"/>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5219700" y="0"/>
              <a:ext cx="1828800" cy="922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7620</xdr:rowOff>
    </xdr:from>
    <xdr:to>
      <xdr:col>2</xdr:col>
      <xdr:colOff>327660</xdr:colOff>
      <xdr:row>7</xdr:row>
      <xdr:rowOff>182879</xdr:rowOff>
    </xdr:to>
    <mc:AlternateContent xmlns:mc="http://schemas.openxmlformats.org/markup-compatibility/2006" xmlns:a14="http://schemas.microsoft.com/office/drawing/2010/main">
      <mc:Choice Requires="a14">
        <xdr:graphicFrame macro="">
          <xdr:nvGraphicFramePr>
            <xdr:cNvPr id="17" name="Country">
              <a:extLst>
                <a:ext uri="{FF2B5EF4-FFF2-40B4-BE49-F238E27FC236}">
                  <a16:creationId xmlns:a16="http://schemas.microsoft.com/office/drawing/2014/main" id="{7A848260-A770-8924-FB7F-F734F489670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7620"/>
              <a:ext cx="2628900" cy="14554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548640</xdr:colOff>
      <xdr:row>0</xdr:row>
      <xdr:rowOff>22861</xdr:rowOff>
    </xdr:from>
    <xdr:to>
      <xdr:col>11</xdr:col>
      <xdr:colOff>457200</xdr:colOff>
      <xdr:row>5</xdr:row>
      <xdr:rowOff>30481</xdr:rowOff>
    </xdr:to>
    <mc:AlternateContent xmlns:mc="http://schemas.openxmlformats.org/markup-compatibility/2006" xmlns:a14="http://schemas.microsoft.com/office/drawing/2010/main">
      <mc:Choice Requires="a14">
        <xdr:graphicFrame macro="">
          <xdr:nvGraphicFramePr>
            <xdr:cNvPr id="19" name="Duration_Type">
              <a:extLst>
                <a:ext uri="{FF2B5EF4-FFF2-40B4-BE49-F238E27FC236}">
                  <a16:creationId xmlns:a16="http://schemas.microsoft.com/office/drawing/2014/main" id="{119A9235-F377-992F-22A3-14C4CCD68D63}"/>
                </a:ext>
              </a:extLst>
            </xdr:cNvPr>
            <xdr:cNvGraphicFramePr/>
          </xdr:nvGraphicFramePr>
          <xdr:xfrm>
            <a:off x="0" y="0"/>
            <a:ext cx="0" cy="0"/>
          </xdr:xfrm>
          <a:graphic>
            <a:graphicData uri="http://schemas.microsoft.com/office/drawing/2010/slicer">
              <sle:slicer xmlns:sle="http://schemas.microsoft.com/office/drawing/2010/slicer" name="Duration_Type"/>
            </a:graphicData>
          </a:graphic>
        </xdr:graphicFrame>
      </mc:Choice>
      <mc:Fallback xmlns="">
        <xdr:sp macro="" textlink="">
          <xdr:nvSpPr>
            <xdr:cNvPr id="0" name=""/>
            <xdr:cNvSpPr>
              <a:spLocks noTextEdit="1"/>
            </xdr:cNvSpPr>
          </xdr:nvSpPr>
          <xdr:spPr>
            <a:xfrm>
              <a:off x="7071360" y="22861"/>
              <a:ext cx="1828800" cy="922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327660</xdr:colOff>
      <xdr:row>0</xdr:row>
      <xdr:rowOff>0</xdr:rowOff>
    </xdr:from>
    <xdr:to>
      <xdr:col>6</xdr:col>
      <xdr:colOff>617220</xdr:colOff>
      <xdr:row>6</xdr:row>
      <xdr:rowOff>83819</xdr:rowOff>
    </xdr:to>
    <mc:AlternateContent xmlns:mc="http://schemas.openxmlformats.org/markup-compatibility/2006" xmlns:a14="http://schemas.microsoft.com/office/drawing/2010/main">
      <mc:Choice Requires="a14">
        <xdr:graphicFrame macro="">
          <xdr:nvGraphicFramePr>
            <xdr:cNvPr id="20" name="Genres">
              <a:extLst>
                <a:ext uri="{FF2B5EF4-FFF2-40B4-BE49-F238E27FC236}">
                  <a16:creationId xmlns:a16="http://schemas.microsoft.com/office/drawing/2014/main" id="{22B5FE5D-642C-DD81-4CB7-593590A76923}"/>
                </a:ext>
              </a:extLst>
            </xdr:cNvPr>
            <xdr:cNvGraphicFramePr/>
          </xdr:nvGraphicFramePr>
          <xdr:xfrm>
            <a:off x="0" y="0"/>
            <a:ext cx="0" cy="0"/>
          </xdr:xfrm>
          <a:graphic>
            <a:graphicData uri="http://schemas.microsoft.com/office/drawing/2010/slicer">
              <sle:slicer xmlns:sle="http://schemas.microsoft.com/office/drawing/2010/slicer" name="Genres"/>
            </a:graphicData>
          </a:graphic>
        </xdr:graphicFrame>
      </mc:Choice>
      <mc:Fallback xmlns="">
        <xdr:sp macro="" textlink="">
          <xdr:nvSpPr>
            <xdr:cNvPr id="0" name=""/>
            <xdr:cNvSpPr>
              <a:spLocks noTextEdit="1"/>
            </xdr:cNvSpPr>
          </xdr:nvSpPr>
          <xdr:spPr>
            <a:xfrm>
              <a:off x="2346960" y="0"/>
              <a:ext cx="2849880" cy="1181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36</xdr:col>
      <xdr:colOff>525780</xdr:colOff>
      <xdr:row>23</xdr:row>
      <xdr:rowOff>137160</xdr:rowOff>
    </xdr:from>
    <xdr:to>
      <xdr:col>39</xdr:col>
      <xdr:colOff>1501140</xdr:colOff>
      <xdr:row>32</xdr:row>
      <xdr:rowOff>60960</xdr:rowOff>
    </xdr:to>
    <xdr:graphicFrame macro="">
      <xdr:nvGraphicFramePr>
        <xdr:cNvPr id="22" name="Chart 21">
          <a:extLst>
            <a:ext uri="{FF2B5EF4-FFF2-40B4-BE49-F238E27FC236}">
              <a16:creationId xmlns:a16="http://schemas.microsoft.com/office/drawing/2014/main" id="{3C229494-29CC-39FF-A4E9-D35A935B98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533400</xdr:colOff>
      <xdr:row>0</xdr:row>
      <xdr:rowOff>30480</xdr:rowOff>
    </xdr:from>
    <xdr:to>
      <xdr:col>14</xdr:col>
      <xdr:colOff>83820</xdr:colOff>
      <xdr:row>5</xdr:row>
      <xdr:rowOff>45719</xdr:rowOff>
    </xdr:to>
    <mc:AlternateContent xmlns:mc="http://schemas.openxmlformats.org/markup-compatibility/2006" xmlns:a14="http://schemas.microsoft.com/office/drawing/2010/main">
      <mc:Choice Requires="a14">
        <xdr:graphicFrame macro="">
          <xdr:nvGraphicFramePr>
            <xdr:cNvPr id="23" name="Category_Of_Ownership">
              <a:extLst>
                <a:ext uri="{FF2B5EF4-FFF2-40B4-BE49-F238E27FC236}">
                  <a16:creationId xmlns:a16="http://schemas.microsoft.com/office/drawing/2014/main" id="{4ACD44EC-B59D-382B-2015-8012BD5B35AB}"/>
                </a:ext>
              </a:extLst>
            </xdr:cNvPr>
            <xdr:cNvGraphicFramePr/>
          </xdr:nvGraphicFramePr>
          <xdr:xfrm>
            <a:off x="0" y="0"/>
            <a:ext cx="0" cy="0"/>
          </xdr:xfrm>
          <a:graphic>
            <a:graphicData uri="http://schemas.microsoft.com/office/drawing/2010/slicer">
              <sle:slicer xmlns:sle="http://schemas.microsoft.com/office/drawing/2010/slicer" name="Category_Of_Ownership"/>
            </a:graphicData>
          </a:graphic>
        </xdr:graphicFrame>
      </mc:Choice>
      <mc:Fallback xmlns="">
        <xdr:sp macro="" textlink="">
          <xdr:nvSpPr>
            <xdr:cNvPr id="0" name=""/>
            <xdr:cNvSpPr>
              <a:spLocks noTextEdit="1"/>
            </xdr:cNvSpPr>
          </xdr:nvSpPr>
          <xdr:spPr>
            <a:xfrm>
              <a:off x="8976360" y="30480"/>
              <a:ext cx="1828800" cy="929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236220</xdr:colOff>
      <xdr:row>0</xdr:row>
      <xdr:rowOff>15240</xdr:rowOff>
    </xdr:from>
    <xdr:to>
      <xdr:col>17</xdr:col>
      <xdr:colOff>1463040</xdr:colOff>
      <xdr:row>7</xdr:row>
      <xdr:rowOff>106680</xdr:rowOff>
    </xdr:to>
    <mc:AlternateContent xmlns:mc="http://schemas.openxmlformats.org/markup-compatibility/2006" xmlns:tsle="http://schemas.microsoft.com/office/drawing/2012/timeslicer">
      <mc:Choice Requires="tsle">
        <xdr:graphicFrame macro="">
          <xdr:nvGraphicFramePr>
            <xdr:cNvPr id="24" name="Content_Aded">
              <a:extLst>
                <a:ext uri="{FF2B5EF4-FFF2-40B4-BE49-F238E27FC236}">
                  <a16:creationId xmlns:a16="http://schemas.microsoft.com/office/drawing/2014/main" id="{465BFDFE-473D-4093-F002-69D119B66E72}"/>
                </a:ext>
              </a:extLst>
            </xdr:cNvPr>
            <xdr:cNvGraphicFramePr/>
          </xdr:nvGraphicFramePr>
          <xdr:xfrm>
            <a:off x="0" y="0"/>
            <a:ext cx="0" cy="0"/>
          </xdr:xfrm>
          <a:graphic>
            <a:graphicData uri="http://schemas.microsoft.com/office/drawing/2012/timeslicer">
              <tsle:timeslicer name="Content_Aded"/>
            </a:graphicData>
          </a:graphic>
        </xdr:graphicFrame>
      </mc:Choice>
      <mc:Fallback xmlns="">
        <xdr:sp macro="" textlink="">
          <xdr:nvSpPr>
            <xdr:cNvPr id="0" name=""/>
            <xdr:cNvSpPr>
              <a:spLocks noTextEdit="1"/>
            </xdr:cNvSpPr>
          </xdr:nvSpPr>
          <xdr:spPr>
            <a:xfrm>
              <a:off x="10957560" y="1524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oneCellAnchor>
    <xdr:from>
      <xdr:col>2</xdr:col>
      <xdr:colOff>251460</xdr:colOff>
      <xdr:row>16</xdr:row>
      <xdr:rowOff>152400</xdr:rowOff>
    </xdr:from>
    <xdr:ext cx="184731" cy="264560"/>
    <xdr:sp macro="" textlink="">
      <xdr:nvSpPr>
        <xdr:cNvPr id="14" name="TextBox 13">
          <a:extLst>
            <a:ext uri="{FF2B5EF4-FFF2-40B4-BE49-F238E27FC236}">
              <a16:creationId xmlns:a16="http://schemas.microsoft.com/office/drawing/2014/main" id="{81572A6D-6534-F453-F504-F199B351F41E}"/>
            </a:ext>
          </a:extLst>
        </xdr:cNvPr>
        <xdr:cNvSpPr txBox="1"/>
      </xdr:nvSpPr>
      <xdr:spPr>
        <a:xfrm>
          <a:off x="2270760" y="3078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4</xdr:col>
      <xdr:colOff>0</xdr:colOff>
      <xdr:row>4</xdr:row>
      <xdr:rowOff>7620</xdr:rowOff>
    </xdr:from>
    <xdr:to>
      <xdr:col>7</xdr:col>
      <xdr:colOff>164592</xdr:colOff>
      <xdr:row>7</xdr:row>
      <xdr:rowOff>42809</xdr:rowOff>
    </xdr:to>
    <xdr:sp macro="" textlink="Pivot_Table!$G$15">
      <xdr:nvSpPr>
        <xdr:cNvPr id="3" name="Rectangle: Rounded Corners 2">
          <a:extLst>
            <a:ext uri="{FF2B5EF4-FFF2-40B4-BE49-F238E27FC236}">
              <a16:creationId xmlns:a16="http://schemas.microsoft.com/office/drawing/2014/main" id="{4579BD5C-F591-457D-B759-273A90F6472C}"/>
            </a:ext>
          </a:extLst>
        </xdr:cNvPr>
        <xdr:cNvSpPr/>
      </xdr:nvSpPr>
      <xdr:spPr>
        <a:xfrm>
          <a:off x="2431551" y="726811"/>
          <a:ext cx="1988254" cy="574582"/>
        </a:xfrm>
        <a:prstGeom prst="roundRect">
          <a:avLst>
            <a:gd name="adj" fmla="val 28388"/>
          </a:avLst>
        </a:prstGeom>
        <a:ln>
          <a:noFill/>
        </a:ln>
        <a:effectLst>
          <a:outerShdw blurRad="107950" dist="12700" dir="5400000" algn="ctr">
            <a:srgbClr val="000000"/>
          </a:outerShdw>
        </a:effectLst>
        <a:scene3d>
          <a:camera prst="orthographicFront">
            <a:rot lat="0" lon="0" rev="0"/>
          </a:camera>
          <a:lightRig rig="flood" dir="t">
            <a:rot lat="0" lon="0" rev="1800000"/>
          </a:lightRig>
        </a:scene3d>
        <a:sp3d extrusionH="76200" contourW="44450" prstMaterial="plastic">
          <a:bevelT w="63500" h="63500"/>
          <a:bevelB/>
          <a:extrusionClr>
            <a:schemeClr val="tx1">
              <a:lumMod val="95000"/>
              <a:lumOff val="5000"/>
            </a:schemeClr>
          </a:extrusionClr>
          <a:contourClr>
            <a:schemeClr val="tx1"/>
          </a:contourClr>
        </a:sp3d>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marL="0" indent="0" algn="ctr"/>
          <a:r>
            <a:rPr lang="en-US" sz="1200" b="1" i="0" u="none" strike="noStrike">
              <a:ln>
                <a:noFill/>
              </a:ln>
              <a:solidFill>
                <a:schemeClr val="bg1"/>
              </a:solidFill>
              <a:effectLst>
                <a:reflection blurRad="6350" stA="55000" endA="300" endPos="45500" dir="5400000" sy="-100000" algn="bl" rotWithShape="0"/>
              </a:effectLst>
              <a:latin typeface="Calibri"/>
              <a:ea typeface="Calibri"/>
              <a:cs typeface="Calibri"/>
            </a:rPr>
            <a:t>Total Views</a:t>
          </a:r>
        </a:p>
        <a:p>
          <a:pPr marL="0" indent="0" algn="ctr"/>
          <a:fld id="{37D4C94B-A2A7-481E-A4C7-2056CDCED597}" type="TxLink">
            <a:rPr lang="en-US" sz="1200" b="1" i="0" u="none" strike="noStrike">
              <a:ln>
                <a:noFill/>
              </a:ln>
              <a:solidFill>
                <a:schemeClr val="bg1"/>
              </a:solidFill>
              <a:effectLst>
                <a:reflection blurRad="6350" stA="55000" endA="300" endPos="45500" dir="5400000" sy="-100000" algn="bl" rotWithShape="0"/>
              </a:effectLst>
              <a:latin typeface="Calibri"/>
              <a:ea typeface="Calibri"/>
              <a:cs typeface="Calibri"/>
            </a:rPr>
            <a:pPr marL="0" indent="0" algn="ctr"/>
            <a:t>75.3 B</a:t>
          </a:fld>
          <a:endParaRPr lang="en-US" sz="1200" b="1" i="0" u="none" strike="noStrike">
            <a:ln>
              <a:noFill/>
            </a:ln>
            <a:solidFill>
              <a:schemeClr val="bg1"/>
            </a:solidFill>
            <a:effectLst>
              <a:reflection blurRad="6350" stA="55000" endA="300" endPos="45500" dir="5400000" sy="-100000" algn="bl" rotWithShape="0"/>
            </a:effectLst>
            <a:latin typeface="Calibri"/>
            <a:ea typeface="Calibri"/>
            <a:cs typeface="Calibri"/>
          </a:endParaRPr>
        </a:p>
      </xdr:txBody>
    </xdr:sp>
    <xdr:clientData/>
  </xdr:twoCellAnchor>
  <xdr:twoCellAnchor>
    <xdr:from>
      <xdr:col>12</xdr:col>
      <xdr:colOff>0</xdr:colOff>
      <xdr:row>4</xdr:row>
      <xdr:rowOff>0</xdr:rowOff>
    </xdr:from>
    <xdr:to>
      <xdr:col>15</xdr:col>
      <xdr:colOff>164592</xdr:colOff>
      <xdr:row>7</xdr:row>
      <xdr:rowOff>15240</xdr:rowOff>
    </xdr:to>
    <xdr:sp macro="" textlink="Pivot_Table!$AN$18">
      <xdr:nvSpPr>
        <xdr:cNvPr id="10" name="Rectangle: Rounded Corners 9">
          <a:extLst>
            <a:ext uri="{FF2B5EF4-FFF2-40B4-BE49-F238E27FC236}">
              <a16:creationId xmlns:a16="http://schemas.microsoft.com/office/drawing/2014/main" id="{425BD1DA-0DC3-45EF-95B0-A0FF77D31770}"/>
            </a:ext>
          </a:extLst>
        </xdr:cNvPr>
        <xdr:cNvSpPr/>
      </xdr:nvSpPr>
      <xdr:spPr>
        <a:xfrm>
          <a:off x="7294652" y="539393"/>
          <a:ext cx="1988255" cy="554634"/>
        </a:xfrm>
        <a:prstGeom prst="roundRect">
          <a:avLst>
            <a:gd name="adj" fmla="val 27473"/>
          </a:avLst>
        </a:prstGeom>
        <a:ln>
          <a:noFill/>
        </a:ln>
        <a:effectLst>
          <a:outerShdw blurRad="107950" dist="12700" dir="5400000" algn="ctr">
            <a:srgbClr val="000000"/>
          </a:outerShdw>
        </a:effectLst>
        <a:scene3d>
          <a:camera prst="orthographicFront">
            <a:rot lat="0" lon="0" rev="0"/>
          </a:camera>
          <a:lightRig rig="flood" dir="t">
            <a:rot lat="0" lon="0" rev="1800000"/>
          </a:lightRig>
        </a:scene3d>
        <a:sp3d extrusionH="76200" contourW="44450" prstMaterial="plastic">
          <a:bevelT w="63500" h="63500"/>
          <a:bevelB/>
          <a:extrusionClr>
            <a:schemeClr val="tx1">
              <a:lumMod val="95000"/>
              <a:lumOff val="5000"/>
            </a:schemeClr>
          </a:extrusionClr>
          <a:contourClr>
            <a:schemeClr val="tx1"/>
          </a:contourClr>
        </a:sp3d>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marL="0" indent="0" algn="ctr"/>
          <a:r>
            <a:rPr lang="en-US" sz="1200" b="1" i="0" u="none" strike="noStrike">
              <a:ln>
                <a:noFill/>
              </a:ln>
              <a:solidFill>
                <a:schemeClr val="bg1"/>
              </a:solidFill>
              <a:effectLst>
                <a:reflection blurRad="6350" stA="55000" endA="300" endPos="45500" dir="5400000" sy="-100000" algn="bl" rotWithShape="0"/>
              </a:effectLst>
              <a:latin typeface="Calibri"/>
              <a:ea typeface="Calibri"/>
              <a:cs typeface="Calibri"/>
            </a:rPr>
            <a:t>Original Contents</a:t>
          </a:r>
        </a:p>
        <a:p>
          <a:pPr marL="0" indent="0" algn="ctr"/>
          <a:fld id="{F9A334C5-37B7-45CB-BAE4-1AB168AD9DD1}" type="TxLink">
            <a:rPr lang="en-US" sz="1200" b="1" i="0" u="none" strike="noStrike">
              <a:ln>
                <a:noFill/>
              </a:ln>
              <a:solidFill>
                <a:schemeClr val="bg1"/>
              </a:solidFill>
              <a:effectLst>
                <a:reflection blurRad="6350" stA="55000" endA="300" endPos="45500" dir="5400000" sy="-100000" algn="bl" rotWithShape="0"/>
              </a:effectLst>
              <a:latin typeface="Calibri"/>
              <a:ea typeface="Calibri"/>
              <a:cs typeface="Calibri"/>
            </a:rPr>
            <a:pPr marL="0" indent="0" algn="ctr"/>
            <a:t>48%</a:t>
          </a:fld>
          <a:endParaRPr lang="en-US" sz="1200" b="1" i="0" u="none" strike="noStrike">
            <a:ln>
              <a:noFill/>
            </a:ln>
            <a:solidFill>
              <a:schemeClr val="bg1"/>
            </a:solidFill>
            <a:effectLst>
              <a:reflection blurRad="6350" stA="55000" endA="300" endPos="45500" dir="5400000" sy="-100000" algn="bl" rotWithShape="0"/>
            </a:effectLst>
            <a:latin typeface="Calibri"/>
            <a:ea typeface="Calibri"/>
            <a:cs typeface="Calibri"/>
          </a:endParaRPr>
        </a:p>
      </xdr:txBody>
    </xdr:sp>
    <xdr:clientData/>
  </xdr:twoCellAnchor>
  <xdr:twoCellAnchor>
    <xdr:from>
      <xdr:col>16</xdr:col>
      <xdr:colOff>0</xdr:colOff>
      <xdr:row>4</xdr:row>
      <xdr:rowOff>0</xdr:rowOff>
    </xdr:from>
    <xdr:to>
      <xdr:col>19</xdr:col>
      <xdr:colOff>164592</xdr:colOff>
      <xdr:row>7</xdr:row>
      <xdr:rowOff>15240</xdr:rowOff>
    </xdr:to>
    <xdr:sp macro="" textlink="Pivot_Table!$AN$17">
      <xdr:nvSpPr>
        <xdr:cNvPr id="11" name="Rectangle: Rounded Corners 10">
          <a:extLst>
            <a:ext uri="{FF2B5EF4-FFF2-40B4-BE49-F238E27FC236}">
              <a16:creationId xmlns:a16="http://schemas.microsoft.com/office/drawing/2014/main" id="{4D46543E-3FDE-4FF1-960B-A0488C5D278F}"/>
            </a:ext>
          </a:extLst>
        </xdr:cNvPr>
        <xdr:cNvSpPr/>
      </xdr:nvSpPr>
      <xdr:spPr>
        <a:xfrm>
          <a:off x="9726202" y="539393"/>
          <a:ext cx="1988255" cy="554634"/>
        </a:xfrm>
        <a:prstGeom prst="roundRect">
          <a:avLst>
            <a:gd name="adj" fmla="val 27473"/>
          </a:avLst>
        </a:prstGeom>
        <a:ln>
          <a:noFill/>
        </a:ln>
        <a:effectLst>
          <a:outerShdw blurRad="107950" dist="12700" dir="5400000" algn="ctr">
            <a:srgbClr val="000000"/>
          </a:outerShdw>
        </a:effectLst>
        <a:scene3d>
          <a:camera prst="orthographicFront">
            <a:rot lat="0" lon="0" rev="0"/>
          </a:camera>
          <a:lightRig rig="flood" dir="t">
            <a:rot lat="0" lon="0" rev="1800000"/>
          </a:lightRig>
        </a:scene3d>
        <a:sp3d extrusionH="76200" contourW="44450" prstMaterial="plastic">
          <a:bevelT w="63500" h="63500"/>
          <a:bevelB/>
          <a:extrusionClr>
            <a:schemeClr val="tx1">
              <a:lumMod val="95000"/>
              <a:lumOff val="5000"/>
            </a:schemeClr>
          </a:extrusionClr>
          <a:contourClr>
            <a:schemeClr val="tx1"/>
          </a:contourClr>
        </a:sp3d>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marL="0" indent="0" algn="ctr"/>
          <a:r>
            <a:rPr lang="en-US" sz="1200" b="1" i="0" u="none" strike="noStrike">
              <a:ln>
                <a:noFill/>
              </a:ln>
              <a:solidFill>
                <a:schemeClr val="bg1"/>
              </a:solidFill>
              <a:effectLst>
                <a:reflection blurRad="6350" stA="55000" endA="300" endPos="45500" dir="5400000" sy="-100000" algn="bl" rotWithShape="0"/>
              </a:effectLst>
              <a:latin typeface="Calibri"/>
              <a:ea typeface="Calibri"/>
              <a:cs typeface="Calibri"/>
            </a:rPr>
            <a:t>Licensed Contents</a:t>
          </a:r>
        </a:p>
        <a:p>
          <a:pPr marL="0" indent="0" algn="ctr"/>
          <a:fld id="{969675CB-9AA4-45D0-89C1-FF831D4C80EC}" type="TxLink">
            <a:rPr lang="en-US" sz="1200" b="1" i="0" u="none" strike="noStrike">
              <a:ln>
                <a:noFill/>
              </a:ln>
              <a:solidFill>
                <a:schemeClr val="bg1"/>
              </a:solidFill>
              <a:effectLst>
                <a:reflection blurRad="6350" stA="55000" endA="300" endPos="45500" dir="5400000" sy="-100000" algn="bl" rotWithShape="0"/>
              </a:effectLst>
              <a:latin typeface="Calibri"/>
              <a:ea typeface="Calibri"/>
              <a:cs typeface="Calibri"/>
            </a:rPr>
            <a:pPr marL="0" indent="0" algn="ctr"/>
            <a:t>52%</a:t>
          </a:fld>
          <a:endParaRPr lang="en-US" sz="1200" b="1" i="0" u="none" strike="noStrike">
            <a:ln>
              <a:noFill/>
            </a:ln>
            <a:solidFill>
              <a:schemeClr val="bg1"/>
            </a:solidFill>
            <a:effectLst>
              <a:reflection blurRad="6350" stA="55000" endA="300" endPos="45500" dir="5400000" sy="-100000" algn="bl" rotWithShape="0"/>
            </a:effectLst>
            <a:latin typeface="Calibri"/>
            <a:ea typeface="Calibri"/>
            <a:cs typeface="Calibri"/>
          </a:endParaRPr>
        </a:p>
      </xdr:txBody>
    </xdr:sp>
    <xdr:clientData/>
  </xdr:twoCellAnchor>
  <xdr:twoCellAnchor>
    <xdr:from>
      <xdr:col>0</xdr:col>
      <xdr:colOff>0</xdr:colOff>
      <xdr:row>13</xdr:row>
      <xdr:rowOff>22860</xdr:rowOff>
    </xdr:from>
    <xdr:to>
      <xdr:col>8</xdr:col>
      <xdr:colOff>167640</xdr:colOff>
      <xdr:row>26</xdr:row>
      <xdr:rowOff>22860</xdr:rowOff>
    </xdr:to>
    <xdr:graphicFrame macro="">
      <xdr:nvGraphicFramePr>
        <xdr:cNvPr id="13" name="Chart 12">
          <a:extLst>
            <a:ext uri="{FF2B5EF4-FFF2-40B4-BE49-F238E27FC236}">
              <a16:creationId xmlns:a16="http://schemas.microsoft.com/office/drawing/2014/main" id="{348ECC52-5FAA-4353-95AB-0FD9F3FE42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26</xdr:row>
      <xdr:rowOff>114300</xdr:rowOff>
    </xdr:from>
    <xdr:to>
      <xdr:col>8</xdr:col>
      <xdr:colOff>129540</xdr:colOff>
      <xdr:row>37</xdr:row>
      <xdr:rowOff>152400</xdr:rowOff>
    </xdr:to>
    <xdr:graphicFrame macro="">
      <xdr:nvGraphicFramePr>
        <xdr:cNvPr id="14" name="Chart 13">
          <a:extLst>
            <a:ext uri="{FF2B5EF4-FFF2-40B4-BE49-F238E27FC236}">
              <a16:creationId xmlns:a16="http://schemas.microsoft.com/office/drawing/2014/main" id="{16A96376-ECEC-48F9-961E-C435AB3098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137160</xdr:colOff>
      <xdr:row>26</xdr:row>
      <xdr:rowOff>114300</xdr:rowOff>
    </xdr:from>
    <xdr:to>
      <xdr:col>21</xdr:col>
      <xdr:colOff>297180</xdr:colOff>
      <xdr:row>37</xdr:row>
      <xdr:rowOff>144780</xdr:rowOff>
    </xdr:to>
    <xdr:graphicFrame macro="">
      <xdr:nvGraphicFramePr>
        <xdr:cNvPr id="15" name="Chart 14">
          <a:extLst>
            <a:ext uri="{FF2B5EF4-FFF2-40B4-BE49-F238E27FC236}">
              <a16:creationId xmlns:a16="http://schemas.microsoft.com/office/drawing/2014/main" id="{257389B1-3283-4046-8BCD-D97E85EDA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152400</xdr:colOff>
      <xdr:row>13</xdr:row>
      <xdr:rowOff>38100</xdr:rowOff>
    </xdr:from>
    <xdr:to>
      <xdr:col>21</xdr:col>
      <xdr:colOff>271272</xdr:colOff>
      <xdr:row>26</xdr:row>
      <xdr:rowOff>10668</xdr:rowOff>
    </xdr:to>
    <xdr:graphicFrame macro="">
      <xdr:nvGraphicFramePr>
        <xdr:cNvPr id="16" name="Chart 15">
          <a:extLst>
            <a:ext uri="{FF2B5EF4-FFF2-40B4-BE49-F238E27FC236}">
              <a16:creationId xmlns:a16="http://schemas.microsoft.com/office/drawing/2014/main" id="{B79398A6-76E1-4768-A222-59F9B3A322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353060</xdr:colOff>
      <xdr:row>26</xdr:row>
      <xdr:rowOff>121920</xdr:rowOff>
    </xdr:from>
    <xdr:to>
      <xdr:col>14</xdr:col>
      <xdr:colOff>497840</xdr:colOff>
      <xdr:row>37</xdr:row>
      <xdr:rowOff>114300</xdr:rowOff>
    </xdr:to>
    <xdr:graphicFrame macro="">
      <xdr:nvGraphicFramePr>
        <xdr:cNvPr id="17" name="Chart 16">
          <a:extLst>
            <a:ext uri="{FF2B5EF4-FFF2-40B4-BE49-F238E27FC236}">
              <a16:creationId xmlns:a16="http://schemas.microsoft.com/office/drawing/2014/main" id="{AF154234-AD18-41EE-A4D1-592D85B951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383540</xdr:colOff>
      <xdr:row>13</xdr:row>
      <xdr:rowOff>38100</xdr:rowOff>
    </xdr:from>
    <xdr:to>
      <xdr:col>14</xdr:col>
      <xdr:colOff>505460</xdr:colOff>
      <xdr:row>26</xdr:row>
      <xdr:rowOff>7620</xdr:rowOff>
    </xdr:to>
    <xdr:graphicFrame macro="">
      <xdr:nvGraphicFramePr>
        <xdr:cNvPr id="18" name="Chart 17">
          <a:extLst>
            <a:ext uri="{FF2B5EF4-FFF2-40B4-BE49-F238E27FC236}">
              <a16:creationId xmlns:a16="http://schemas.microsoft.com/office/drawing/2014/main" id="{B29EAEBD-5D2A-4E80-9019-0E7DD640FA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402772</xdr:colOff>
      <xdr:row>0</xdr:row>
      <xdr:rowOff>119866</xdr:rowOff>
    </xdr:from>
    <xdr:to>
      <xdr:col>25</xdr:col>
      <xdr:colOff>596702</xdr:colOff>
      <xdr:row>8</xdr:row>
      <xdr:rowOff>145552</xdr:rowOff>
    </xdr:to>
    <mc:AlternateContent xmlns:mc="http://schemas.openxmlformats.org/markup-compatibility/2006" xmlns:a14="http://schemas.microsoft.com/office/drawing/2010/main">
      <mc:Choice Requires="a14">
        <xdr:graphicFrame macro="">
          <xdr:nvGraphicFramePr>
            <xdr:cNvPr id="19" name="Country 1">
              <a:extLst>
                <a:ext uri="{FF2B5EF4-FFF2-40B4-BE49-F238E27FC236}">
                  <a16:creationId xmlns:a16="http://schemas.microsoft.com/office/drawing/2014/main" id="{8C06BE67-CB6B-47A5-BDB2-46BA6BEC0709}"/>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3168412" y="119866"/>
              <a:ext cx="2625481" cy="14640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391886</xdr:colOff>
      <xdr:row>9</xdr:row>
      <xdr:rowOff>87084</xdr:rowOff>
    </xdr:from>
    <xdr:to>
      <xdr:col>25</xdr:col>
      <xdr:colOff>586958</xdr:colOff>
      <xdr:row>20</xdr:row>
      <xdr:rowOff>54428</xdr:rowOff>
    </xdr:to>
    <mc:AlternateContent xmlns:mc="http://schemas.openxmlformats.org/markup-compatibility/2006" xmlns:a14="http://schemas.microsoft.com/office/drawing/2010/main">
      <mc:Choice Requires="a14">
        <xdr:graphicFrame macro="">
          <xdr:nvGraphicFramePr>
            <xdr:cNvPr id="20" name="Genres 1">
              <a:extLst>
                <a:ext uri="{FF2B5EF4-FFF2-40B4-BE49-F238E27FC236}">
                  <a16:creationId xmlns:a16="http://schemas.microsoft.com/office/drawing/2014/main" id="{314ABCFC-F1A7-4DE7-B808-4005991DBCF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Genres 1"/>
            </a:graphicData>
          </a:graphic>
        </xdr:graphicFrame>
      </mc:Choice>
      <mc:Fallback xmlns="">
        <xdr:sp macro="" textlink="">
          <xdr:nvSpPr>
            <xdr:cNvPr id="0" name=""/>
            <xdr:cNvSpPr>
              <a:spLocks noTextEdit="1"/>
            </xdr:cNvSpPr>
          </xdr:nvSpPr>
          <xdr:spPr>
            <a:xfrm>
              <a:off x="13193486" y="1550124"/>
              <a:ext cx="2633472" cy="1979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381000</xdr:colOff>
      <xdr:row>20</xdr:row>
      <xdr:rowOff>141515</xdr:rowOff>
    </xdr:from>
    <xdr:to>
      <xdr:col>25</xdr:col>
      <xdr:colOff>576072</xdr:colOff>
      <xdr:row>25</xdr:row>
      <xdr:rowOff>138250</xdr:rowOff>
    </xdr:to>
    <mc:AlternateContent xmlns:mc="http://schemas.openxmlformats.org/markup-compatibility/2006" xmlns:a14="http://schemas.microsoft.com/office/drawing/2010/main">
      <mc:Choice Requires="a14">
        <xdr:graphicFrame macro="">
          <xdr:nvGraphicFramePr>
            <xdr:cNvPr id="21" name="Type 1">
              <a:extLst>
                <a:ext uri="{FF2B5EF4-FFF2-40B4-BE49-F238E27FC236}">
                  <a16:creationId xmlns:a16="http://schemas.microsoft.com/office/drawing/2014/main" id="{EBA8DDF3-C0CB-4854-9A57-2250346653A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mlns="">
        <xdr:sp macro="" textlink="">
          <xdr:nvSpPr>
            <xdr:cNvPr id="0" name=""/>
            <xdr:cNvSpPr>
              <a:spLocks noTextEdit="1"/>
            </xdr:cNvSpPr>
          </xdr:nvSpPr>
          <xdr:spPr>
            <a:xfrm>
              <a:off x="13182600" y="3616235"/>
              <a:ext cx="2633472" cy="9111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402771</xdr:colOff>
      <xdr:row>26</xdr:row>
      <xdr:rowOff>108857</xdr:rowOff>
    </xdr:from>
    <xdr:to>
      <xdr:col>25</xdr:col>
      <xdr:colOff>597843</xdr:colOff>
      <xdr:row>31</xdr:row>
      <xdr:rowOff>105593</xdr:rowOff>
    </xdr:to>
    <mc:AlternateContent xmlns:mc="http://schemas.openxmlformats.org/markup-compatibility/2006" xmlns:a14="http://schemas.microsoft.com/office/drawing/2010/main">
      <mc:Choice Requires="a14">
        <xdr:graphicFrame macro="">
          <xdr:nvGraphicFramePr>
            <xdr:cNvPr id="22" name="Duration_Type 1">
              <a:extLst>
                <a:ext uri="{FF2B5EF4-FFF2-40B4-BE49-F238E27FC236}">
                  <a16:creationId xmlns:a16="http://schemas.microsoft.com/office/drawing/2014/main" id="{630F5054-45D7-4FE1-9A5F-B2D0D9D5D9A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Duration_Type 1"/>
            </a:graphicData>
          </a:graphic>
        </xdr:graphicFrame>
      </mc:Choice>
      <mc:Fallback xmlns="">
        <xdr:sp macro="" textlink="">
          <xdr:nvSpPr>
            <xdr:cNvPr id="0" name=""/>
            <xdr:cNvSpPr>
              <a:spLocks noTextEdit="1"/>
            </xdr:cNvSpPr>
          </xdr:nvSpPr>
          <xdr:spPr>
            <a:xfrm>
              <a:off x="13204371" y="4680857"/>
              <a:ext cx="2633472" cy="9111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402767</xdr:colOff>
      <xdr:row>32</xdr:row>
      <xdr:rowOff>76201</xdr:rowOff>
    </xdr:from>
    <xdr:to>
      <xdr:col>25</xdr:col>
      <xdr:colOff>597839</xdr:colOff>
      <xdr:row>37</xdr:row>
      <xdr:rowOff>80554</xdr:rowOff>
    </xdr:to>
    <mc:AlternateContent xmlns:mc="http://schemas.openxmlformats.org/markup-compatibility/2006" xmlns:a14="http://schemas.microsoft.com/office/drawing/2010/main">
      <mc:Choice Requires="a14">
        <xdr:graphicFrame macro="">
          <xdr:nvGraphicFramePr>
            <xdr:cNvPr id="23" name="Category_Of_Ownership 1">
              <a:extLst>
                <a:ext uri="{FF2B5EF4-FFF2-40B4-BE49-F238E27FC236}">
                  <a16:creationId xmlns:a16="http://schemas.microsoft.com/office/drawing/2014/main" id="{3276A205-83C0-4EA0-B234-6C66E5BE723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ategory_Of_Ownership 1"/>
            </a:graphicData>
          </a:graphic>
        </xdr:graphicFrame>
      </mc:Choice>
      <mc:Fallback xmlns="">
        <xdr:sp macro="" textlink="">
          <xdr:nvSpPr>
            <xdr:cNvPr id="0" name=""/>
            <xdr:cNvSpPr>
              <a:spLocks noTextEdit="1"/>
            </xdr:cNvSpPr>
          </xdr:nvSpPr>
          <xdr:spPr>
            <a:xfrm>
              <a:off x="13204367" y="5745481"/>
              <a:ext cx="2633472" cy="9187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511482</xdr:colOff>
      <xdr:row>8</xdr:row>
      <xdr:rowOff>77743</xdr:rowOff>
    </xdr:from>
    <xdr:to>
      <xdr:col>9</xdr:col>
      <xdr:colOff>64179</xdr:colOff>
      <xdr:row>11</xdr:row>
      <xdr:rowOff>85620</xdr:rowOff>
    </xdr:to>
    <xdr:sp macro="" textlink="Pivot_Table!$B$17">
      <xdr:nvSpPr>
        <xdr:cNvPr id="5" name="Rectangle: Rounded Corners 4">
          <a:extLst>
            <a:ext uri="{FF2B5EF4-FFF2-40B4-BE49-F238E27FC236}">
              <a16:creationId xmlns:a16="http://schemas.microsoft.com/office/drawing/2014/main" id="{54D3F843-1D7F-457F-AD93-F1095B4A2991}"/>
            </a:ext>
          </a:extLst>
        </xdr:cNvPr>
        <xdr:cNvSpPr/>
      </xdr:nvSpPr>
      <xdr:spPr>
        <a:xfrm>
          <a:off x="3550920" y="1516125"/>
          <a:ext cx="1984248" cy="547270"/>
        </a:xfrm>
        <a:prstGeom prst="roundRect">
          <a:avLst>
            <a:gd name="adj" fmla="val 20987"/>
          </a:avLst>
        </a:prstGeom>
        <a:ln>
          <a:noFill/>
        </a:ln>
        <a:effectLst>
          <a:outerShdw blurRad="107950" dist="12700" dir="5400000" algn="ctr">
            <a:srgbClr val="000000"/>
          </a:outerShdw>
        </a:effectLst>
        <a:scene3d>
          <a:camera prst="orthographicFront">
            <a:rot lat="0" lon="0" rev="0"/>
          </a:camera>
          <a:lightRig rig="flood" dir="t">
            <a:rot lat="0" lon="0" rev="1800000"/>
          </a:lightRig>
        </a:scene3d>
        <a:sp3d extrusionH="76200" contourW="44450" prstMaterial="plastic">
          <a:bevelT w="63500" h="63500"/>
          <a:bevelB/>
          <a:extrusionClr>
            <a:schemeClr val="tx1">
              <a:lumMod val="95000"/>
              <a:lumOff val="5000"/>
            </a:schemeClr>
          </a:extrusionClr>
          <a:contourClr>
            <a:schemeClr val="tx1"/>
          </a:contourClr>
        </a:sp3d>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marL="0" indent="0" algn="ctr"/>
          <a:r>
            <a:rPr lang="en-US" sz="1200" b="1" i="0" u="none" strike="noStrike">
              <a:ln>
                <a:noFill/>
              </a:ln>
              <a:solidFill>
                <a:schemeClr val="bg1"/>
              </a:solidFill>
              <a:effectLst>
                <a:reflection blurRad="6350" stA="55000" endA="300" endPos="45500" dir="5400000" sy="-100000" algn="bl" rotWithShape="0"/>
              </a:effectLst>
              <a:latin typeface="Calibri"/>
              <a:ea typeface="Calibri"/>
              <a:cs typeface="Calibri"/>
            </a:rPr>
            <a:t>Movies</a:t>
          </a:r>
        </a:p>
        <a:p>
          <a:pPr marL="0" indent="0" algn="ctr"/>
          <a:fld id="{84683F4D-B0A8-4C98-A280-3BAA34C1B154}" type="TxLink">
            <a:rPr lang="en-US" sz="1200" b="1" i="0" u="none" strike="noStrike">
              <a:ln>
                <a:noFill/>
              </a:ln>
              <a:solidFill>
                <a:schemeClr val="bg1"/>
              </a:solidFill>
              <a:effectLst>
                <a:reflection blurRad="6350" stA="55000" endA="300" endPos="45500" dir="5400000" sy="-100000" algn="bl" rotWithShape="0"/>
              </a:effectLst>
              <a:latin typeface="Calibri"/>
              <a:ea typeface="Calibri"/>
              <a:cs typeface="Calibri"/>
            </a:rPr>
            <a:pPr marL="0" indent="0" algn="ctr"/>
            <a:t>58%</a:t>
          </a:fld>
          <a:endParaRPr lang="en-US" sz="1200" b="1" i="0" u="none" strike="noStrike">
            <a:ln>
              <a:noFill/>
            </a:ln>
            <a:solidFill>
              <a:schemeClr val="bg1"/>
            </a:solidFill>
            <a:effectLst>
              <a:reflection blurRad="6350" stA="55000" endA="300" endPos="45500" dir="5400000" sy="-100000" algn="bl" rotWithShape="0"/>
            </a:effectLst>
            <a:latin typeface="Calibri"/>
            <a:ea typeface="Calibri"/>
            <a:cs typeface="Calibri"/>
          </a:endParaRPr>
        </a:p>
      </xdr:txBody>
    </xdr:sp>
    <xdr:clientData/>
  </xdr:twoCellAnchor>
  <xdr:twoCellAnchor>
    <xdr:from>
      <xdr:col>9</xdr:col>
      <xdr:colOff>606004</xdr:colOff>
      <xdr:row>8</xdr:row>
      <xdr:rowOff>75858</xdr:rowOff>
    </xdr:from>
    <xdr:to>
      <xdr:col>13</xdr:col>
      <xdr:colOff>158702</xdr:colOff>
      <xdr:row>11</xdr:row>
      <xdr:rowOff>94248</xdr:rowOff>
    </xdr:to>
    <xdr:sp macro="" textlink="Pivot_Table!$B$18">
      <xdr:nvSpPr>
        <xdr:cNvPr id="6" name="Rectangle: Rounded Corners 5">
          <a:extLst>
            <a:ext uri="{FF2B5EF4-FFF2-40B4-BE49-F238E27FC236}">
              <a16:creationId xmlns:a16="http://schemas.microsoft.com/office/drawing/2014/main" id="{8E968940-B686-4577-AEB7-02F186828523}"/>
            </a:ext>
          </a:extLst>
        </xdr:cNvPr>
        <xdr:cNvSpPr/>
      </xdr:nvSpPr>
      <xdr:spPr>
        <a:xfrm>
          <a:off x="6076993" y="1334442"/>
          <a:ext cx="1984248" cy="557784"/>
        </a:xfrm>
        <a:prstGeom prst="roundRect">
          <a:avLst>
            <a:gd name="adj" fmla="val 25877"/>
          </a:avLst>
        </a:prstGeom>
        <a:ln>
          <a:noFill/>
        </a:ln>
        <a:effectLst>
          <a:outerShdw blurRad="107950" dist="12700" dir="5400000" algn="ctr">
            <a:srgbClr val="000000"/>
          </a:outerShdw>
        </a:effectLst>
        <a:scene3d>
          <a:camera prst="orthographicFront">
            <a:rot lat="0" lon="0" rev="0"/>
          </a:camera>
          <a:lightRig rig="flood" dir="t">
            <a:rot lat="0" lon="0" rev="1800000"/>
          </a:lightRig>
        </a:scene3d>
        <a:sp3d extrusionH="76200" contourW="44450" prstMaterial="plastic">
          <a:bevelT w="63500" h="63500"/>
          <a:bevelB/>
          <a:extrusionClr>
            <a:schemeClr val="tx1">
              <a:lumMod val="95000"/>
              <a:lumOff val="5000"/>
            </a:schemeClr>
          </a:extrusionClr>
          <a:contourClr>
            <a:schemeClr val="tx1"/>
          </a:contourClr>
        </a:sp3d>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marL="0" indent="0" algn="ctr"/>
          <a:r>
            <a:rPr lang="en-US" sz="1200" b="1" i="0" u="none" strike="noStrike">
              <a:ln>
                <a:noFill/>
              </a:ln>
              <a:solidFill>
                <a:schemeClr val="bg1"/>
              </a:solidFill>
              <a:effectLst>
                <a:reflection blurRad="6350" stA="55000" endA="300" endPos="45500" dir="5400000" sy="-100000" algn="bl" rotWithShape="0"/>
              </a:effectLst>
              <a:latin typeface="Calibri"/>
              <a:ea typeface="Calibri"/>
              <a:cs typeface="Calibri"/>
            </a:rPr>
            <a:t>TV Shows</a:t>
          </a:r>
        </a:p>
        <a:p>
          <a:pPr marL="0" indent="0" algn="ctr"/>
          <a:fld id="{03725C39-82A8-488D-8D4A-67EEB12998A2}" type="TxLink">
            <a:rPr lang="en-US" sz="1200" b="1" i="0" u="none" strike="noStrike">
              <a:ln>
                <a:noFill/>
              </a:ln>
              <a:solidFill>
                <a:schemeClr val="bg1"/>
              </a:solidFill>
              <a:effectLst>
                <a:reflection blurRad="6350" stA="55000" endA="300" endPos="45500" dir="5400000" sy="-100000" algn="bl" rotWithShape="0"/>
              </a:effectLst>
              <a:latin typeface="Calibri"/>
              <a:ea typeface="Calibri"/>
              <a:cs typeface="Calibri"/>
            </a:rPr>
            <a:pPr marL="0" indent="0" algn="ctr"/>
            <a:t>42%</a:t>
          </a:fld>
          <a:endParaRPr lang="en-US" sz="1200" b="1" i="0" u="none" strike="noStrike">
            <a:ln>
              <a:noFill/>
            </a:ln>
            <a:solidFill>
              <a:schemeClr val="bg1"/>
            </a:solidFill>
            <a:effectLst>
              <a:reflection blurRad="6350" stA="55000" endA="300" endPos="45500" dir="5400000" sy="-100000" algn="bl" rotWithShape="0"/>
            </a:effectLst>
            <a:latin typeface="Calibri"/>
            <a:ea typeface="Calibri"/>
            <a:cs typeface="Calibri"/>
          </a:endParaRPr>
        </a:p>
      </xdr:txBody>
    </xdr:sp>
    <xdr:clientData/>
  </xdr:twoCellAnchor>
  <xdr:twoCellAnchor>
    <xdr:from>
      <xdr:col>8</xdr:col>
      <xdr:colOff>13699</xdr:colOff>
      <xdr:row>4</xdr:row>
      <xdr:rowOff>9247</xdr:rowOff>
    </xdr:from>
    <xdr:to>
      <xdr:col>11</xdr:col>
      <xdr:colOff>174284</xdr:colOff>
      <xdr:row>7</xdr:row>
      <xdr:rowOff>27637</xdr:rowOff>
    </xdr:to>
    <xdr:sp macro="" textlink="Pivot_Table!$D$15">
      <xdr:nvSpPr>
        <xdr:cNvPr id="7" name="Rectangle: Rounded Corners 6">
          <a:extLst>
            <a:ext uri="{FF2B5EF4-FFF2-40B4-BE49-F238E27FC236}">
              <a16:creationId xmlns:a16="http://schemas.microsoft.com/office/drawing/2014/main" id="{F8CB80F6-8ABB-420D-B1CC-639C83D4FD4D}"/>
            </a:ext>
          </a:extLst>
        </xdr:cNvPr>
        <xdr:cNvSpPr/>
      </xdr:nvSpPr>
      <xdr:spPr>
        <a:xfrm>
          <a:off x="4876800" y="548640"/>
          <a:ext cx="1984248" cy="557784"/>
        </a:xfrm>
        <a:prstGeom prst="roundRect">
          <a:avLst>
            <a:gd name="adj" fmla="val 27412"/>
          </a:avLst>
        </a:prstGeom>
        <a:ln>
          <a:noFill/>
        </a:ln>
        <a:effectLst>
          <a:outerShdw blurRad="107950" dist="12700" dir="5400000" algn="ctr">
            <a:srgbClr val="000000"/>
          </a:outerShdw>
        </a:effectLst>
        <a:scene3d>
          <a:camera prst="orthographicFront">
            <a:rot lat="0" lon="0" rev="0"/>
          </a:camera>
          <a:lightRig rig="flood" dir="t">
            <a:rot lat="0" lon="0" rev="1800000"/>
          </a:lightRig>
        </a:scene3d>
        <a:sp3d extrusionH="76200" contourW="44450" prstMaterial="plastic">
          <a:bevelT w="63500" h="63500"/>
          <a:bevelB/>
          <a:extrusionClr>
            <a:schemeClr val="tx1">
              <a:lumMod val="95000"/>
              <a:lumOff val="5000"/>
            </a:schemeClr>
          </a:extrusionClr>
          <a:contourClr>
            <a:schemeClr val="tx1"/>
          </a:contourClr>
        </a:sp3d>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marL="0" indent="0" algn="ctr"/>
          <a:r>
            <a:rPr lang="en-US" sz="1200" b="1" i="0" u="none" strike="noStrike">
              <a:ln>
                <a:noFill/>
              </a:ln>
              <a:solidFill>
                <a:schemeClr val="bg1"/>
              </a:solidFill>
              <a:effectLst>
                <a:reflection blurRad="6350" stA="55000" endA="300" endPos="45500" dir="5400000" sy="-100000" algn="bl" rotWithShape="0"/>
              </a:effectLst>
              <a:latin typeface="Calibri"/>
              <a:ea typeface="Calibri"/>
              <a:cs typeface="Calibri"/>
            </a:rPr>
            <a:t>Avg Budget</a:t>
          </a:r>
        </a:p>
        <a:p>
          <a:pPr marL="0" indent="0" algn="ctr"/>
          <a:fld id="{3DA28857-28D8-45C1-BC1F-CA379F7FD84E}" type="TxLink">
            <a:rPr lang="en-US" sz="1200" b="1" i="0" u="none" strike="noStrike">
              <a:ln>
                <a:noFill/>
              </a:ln>
              <a:solidFill>
                <a:schemeClr val="bg1"/>
              </a:solidFill>
              <a:effectLst>
                <a:reflection blurRad="6350" stA="55000" endA="300" endPos="45500" dir="5400000" sy="-100000" algn="bl" rotWithShape="0"/>
              </a:effectLst>
              <a:latin typeface="Calibri"/>
              <a:ea typeface="Calibri"/>
              <a:cs typeface="Calibri"/>
            </a:rPr>
            <a:pPr marL="0" indent="0" algn="ctr"/>
            <a:t>$51.7 M</a:t>
          </a:fld>
          <a:endParaRPr lang="en-US" sz="1200" b="1" i="0" u="none" strike="noStrike">
            <a:ln>
              <a:noFill/>
            </a:ln>
            <a:solidFill>
              <a:schemeClr val="bg1"/>
            </a:solidFill>
            <a:effectLst>
              <a:reflection blurRad="6350" stA="55000" endA="300" endPos="45500" dir="5400000" sy="-100000" algn="bl" rotWithShape="0"/>
            </a:effectLst>
            <a:latin typeface="Calibri"/>
            <a:ea typeface="Calibri"/>
            <a:cs typeface="Calibri"/>
          </a:endParaRPr>
        </a:p>
      </xdr:txBody>
    </xdr:sp>
    <xdr:clientData/>
  </xdr:twoCellAnchor>
  <xdr:twoCellAnchor>
    <xdr:from>
      <xdr:col>0</xdr:col>
      <xdr:colOff>0</xdr:colOff>
      <xdr:row>4</xdr:row>
      <xdr:rowOff>0</xdr:rowOff>
    </xdr:from>
    <xdr:to>
      <xdr:col>3</xdr:col>
      <xdr:colOff>160585</xdr:colOff>
      <xdr:row>7</xdr:row>
      <xdr:rowOff>18390</xdr:rowOff>
    </xdr:to>
    <xdr:sp macro="" textlink="Pivot_Table!$L$23">
      <xdr:nvSpPr>
        <xdr:cNvPr id="26" name="Rectangle: Rounded Corners 25">
          <a:extLst>
            <a:ext uri="{FF2B5EF4-FFF2-40B4-BE49-F238E27FC236}">
              <a16:creationId xmlns:a16="http://schemas.microsoft.com/office/drawing/2014/main" id="{4700C887-BE96-40E8-8416-C0D9E5431F51}"/>
            </a:ext>
          </a:extLst>
        </xdr:cNvPr>
        <xdr:cNvSpPr/>
      </xdr:nvSpPr>
      <xdr:spPr>
        <a:xfrm>
          <a:off x="0" y="539393"/>
          <a:ext cx="1984248" cy="557784"/>
        </a:xfrm>
        <a:prstGeom prst="roundRect">
          <a:avLst>
            <a:gd name="adj" fmla="val 23905"/>
          </a:avLst>
        </a:prstGeom>
        <a:ln>
          <a:noFill/>
        </a:ln>
        <a:effectLst>
          <a:outerShdw blurRad="107950" dist="12700" dir="5400000" algn="ctr">
            <a:srgbClr val="000000"/>
          </a:outerShdw>
        </a:effectLst>
        <a:scene3d>
          <a:camera prst="orthographicFront">
            <a:rot lat="0" lon="0" rev="0"/>
          </a:camera>
          <a:lightRig rig="flood" dir="t">
            <a:rot lat="0" lon="0" rev="1800000"/>
          </a:lightRig>
        </a:scene3d>
        <a:sp3d extrusionH="76200" contourW="44450" prstMaterial="plastic">
          <a:bevelT w="63500" h="63500"/>
          <a:bevelB/>
          <a:extrusionClr>
            <a:schemeClr val="tx1">
              <a:lumMod val="95000"/>
              <a:lumOff val="5000"/>
            </a:schemeClr>
          </a:extrusionClr>
          <a:contourClr>
            <a:schemeClr val="tx1"/>
          </a:contourClr>
        </a:sp3d>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marL="0" indent="0" algn="ctr"/>
          <a:r>
            <a:rPr lang="en-US" sz="1200" b="1" i="0" u="none" strike="noStrike">
              <a:ln>
                <a:noFill/>
              </a:ln>
              <a:solidFill>
                <a:schemeClr val="bg1"/>
              </a:solidFill>
              <a:effectLst>
                <a:reflection blurRad="6350" stA="55000" endA="300" endPos="45500" dir="5400000" sy="-100000" algn="bl" rotWithShape="0"/>
              </a:effectLst>
              <a:latin typeface="Calibri"/>
              <a:ea typeface="Calibri"/>
              <a:cs typeface="Calibri"/>
            </a:rPr>
            <a:t>Total Title</a:t>
          </a:r>
        </a:p>
        <a:p>
          <a:pPr marL="0" indent="0" algn="ctr"/>
          <a:fld id="{0F9951E0-002D-4A7B-A659-494406998FDC}" type="TxLink">
            <a:rPr lang="en-US" sz="1200" b="1" i="0" u="none" strike="noStrike">
              <a:ln>
                <a:noFill/>
              </a:ln>
              <a:solidFill>
                <a:schemeClr val="bg1"/>
              </a:solidFill>
              <a:effectLst>
                <a:reflection blurRad="6350" stA="55000" endA="300" endPos="45500" dir="5400000" sy="-100000" algn="bl" rotWithShape="0"/>
              </a:effectLst>
              <a:latin typeface="Calibri"/>
              <a:ea typeface="Calibri"/>
              <a:cs typeface="Calibri"/>
            </a:rPr>
            <a:pPr marL="0" indent="0" algn="ctr"/>
            <a:t>1000</a:t>
          </a:fld>
          <a:endParaRPr lang="en-US" sz="1200" b="1" i="0" u="none" strike="noStrike">
            <a:ln>
              <a:noFill/>
            </a:ln>
            <a:solidFill>
              <a:schemeClr val="bg1"/>
            </a:solidFill>
            <a:effectLst>
              <a:reflection blurRad="6350" stA="55000" endA="300" endPos="45500" dir="5400000" sy="-100000" algn="bl" rotWithShape="0"/>
            </a:effectLst>
            <a:latin typeface="Calibri"/>
            <a:ea typeface="Calibri"/>
            <a:cs typeface="Calibri"/>
          </a:endParaRPr>
        </a:p>
      </xdr:txBody>
    </xdr:sp>
    <xdr:clientData/>
  </xdr:twoCellAnchor>
  <xdr:twoCellAnchor>
    <xdr:from>
      <xdr:col>2</xdr:col>
      <xdr:colOff>273978</xdr:colOff>
      <xdr:row>0</xdr:row>
      <xdr:rowOff>85618</xdr:rowOff>
    </xdr:from>
    <xdr:to>
      <xdr:col>17</xdr:col>
      <xdr:colOff>17123</xdr:colOff>
      <xdr:row>3</xdr:row>
      <xdr:rowOff>51371</xdr:rowOff>
    </xdr:to>
    <xdr:sp macro="" textlink="">
      <xdr:nvSpPr>
        <xdr:cNvPr id="2" name="Rectangle: Rounded Corners 1">
          <a:extLst>
            <a:ext uri="{FF2B5EF4-FFF2-40B4-BE49-F238E27FC236}">
              <a16:creationId xmlns:a16="http://schemas.microsoft.com/office/drawing/2014/main" id="{F585930E-5012-54E5-822A-8F075474BFF7}"/>
            </a:ext>
          </a:extLst>
        </xdr:cNvPr>
        <xdr:cNvSpPr/>
      </xdr:nvSpPr>
      <xdr:spPr>
        <a:xfrm>
          <a:off x="1489753" y="85618"/>
          <a:ext cx="8861460" cy="505146"/>
        </a:xfrm>
        <a:prstGeom prst="roundRect">
          <a:avLst>
            <a:gd name="adj" fmla="val 23161"/>
          </a:avLst>
        </a:prstGeom>
        <a:ln>
          <a:noFill/>
        </a:ln>
        <a:effectLst>
          <a:outerShdw blurRad="107950" dist="12700" dir="5400000" algn="ctr">
            <a:srgbClr val="000000"/>
          </a:outerShdw>
        </a:effectLst>
        <a:scene3d>
          <a:camera prst="orthographicFront">
            <a:rot lat="0" lon="0" rev="0"/>
          </a:camera>
          <a:lightRig rig="flood" dir="t">
            <a:rot lat="0" lon="0" rev="1800000"/>
          </a:lightRig>
        </a:scene3d>
        <a:sp3d extrusionH="76200" contourW="44450" prstMaterial="plastic">
          <a:bevelT w="63500" h="63500"/>
          <a:bevelB/>
          <a:extrusionClr>
            <a:schemeClr val="tx1">
              <a:lumMod val="95000"/>
              <a:lumOff val="5000"/>
            </a:schemeClr>
          </a:extrusionClr>
          <a:contourClr>
            <a:schemeClr val="tx1"/>
          </a:contourClr>
        </a:sp3d>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marL="0" indent="0" algn="ctr"/>
          <a:r>
            <a:rPr lang="en-US" sz="2800" b="1" i="0" u="none" strike="noStrike">
              <a:ln>
                <a:noFill/>
              </a:ln>
              <a:solidFill>
                <a:srgbClr val="FF0000"/>
              </a:solidFill>
              <a:effectLst>
                <a:reflection blurRad="6350" stA="55000" endA="300" endPos="45500" dir="5400000" sy="-100000" algn="bl" rotWithShape="0"/>
              </a:effectLst>
              <a:latin typeface="Calibri"/>
              <a:ea typeface="Calibri"/>
              <a:cs typeface="Calibri"/>
            </a:rPr>
            <a:t>OTT CONTENT STRATEGY DASHBOARD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shank shukla" refreshedDate="46244.910226273147" createdVersion="8" refreshedVersion="8" minRefreshableVersion="3" recordCount="1000" xr:uid="{6C959E75-629C-45E8-A86C-80F3E341C711}">
  <cacheSource type="worksheet">
    <worksheetSource name="Ott_Raw_Data"/>
  </cacheSource>
  <cacheFields count="19">
    <cacheField name="Show_Id" numFmtId="0">
      <sharedItems/>
    </cacheField>
    <cacheField name="Type" numFmtId="0">
      <sharedItems count="2">
        <s v="Tv Show"/>
        <s v="Movie"/>
      </sharedItems>
    </cacheField>
    <cacheField name="Title" numFmtId="0">
      <sharedItems/>
    </cacheField>
    <cacheField name="Director" numFmtId="0">
      <sharedItems/>
    </cacheField>
    <cacheField name="Cast" numFmtId="0">
      <sharedItems/>
    </cacheField>
    <cacheField name="Country" numFmtId="0">
      <sharedItems count="8">
        <s v="South Korea"/>
        <s v="United Kingdom"/>
        <s v="Canada"/>
        <s v="United States"/>
        <s v="India"/>
        <s v="France"/>
        <s v="Japan"/>
        <s v="United States, Canada"/>
      </sharedItems>
    </cacheField>
    <cacheField name="Content_Aded" numFmtId="14">
      <sharedItems containsSemiMixedTypes="0" containsNonDate="0" containsDate="1" containsString="0" minDate="2015-01-01T00:00:00" maxDate="2023-12-31T00:00:00" count="871">
        <d v="2016-06-29T00:00:00"/>
        <d v="2023-05-08T00:00:00"/>
        <d v="2018-01-17T00:00:00"/>
        <d v="2016-08-15T00:00:00"/>
        <d v="2016-05-16T00:00:00"/>
        <d v="2017-08-15T00:00:00"/>
        <d v="2021-09-19T00:00:00"/>
        <d v="2018-09-10T00:00:00"/>
        <d v="2017-02-07T00:00:00"/>
        <d v="2018-05-10T00:00:00"/>
        <d v="2021-11-01T00:00:00"/>
        <d v="2015-09-26T00:00:00"/>
        <d v="2016-04-05T00:00:00"/>
        <d v="2022-11-26T00:00:00"/>
        <d v="2017-12-29T00:00:00"/>
        <d v="2020-03-29T00:00:00"/>
        <d v="2015-03-25T00:00:00"/>
        <d v="2021-11-06T00:00:00"/>
        <d v="2019-09-30T00:00:00"/>
        <d v="2023-05-14T00:00:00"/>
        <d v="2018-11-15T00:00:00"/>
        <d v="2023-09-13T00:00:00"/>
        <d v="2015-08-16T00:00:00"/>
        <d v="2023-03-22T00:00:00"/>
        <d v="2020-08-11T00:00:00"/>
        <d v="2022-04-13T00:00:00"/>
        <d v="2018-08-05T00:00:00"/>
        <d v="2023-09-30T00:00:00"/>
        <d v="2020-06-28T00:00:00"/>
        <d v="2018-12-07T00:00:00"/>
        <d v="2022-01-08T00:00:00"/>
        <d v="2016-08-02T00:00:00"/>
        <d v="2017-09-05T00:00:00"/>
        <d v="2021-02-20T00:00:00"/>
        <d v="2022-05-03T00:00:00"/>
        <d v="2018-12-29T00:00:00"/>
        <d v="2017-02-11T00:00:00"/>
        <d v="2021-02-26T00:00:00"/>
        <d v="2017-09-03T00:00:00"/>
        <d v="2015-02-16T00:00:00"/>
        <d v="2020-10-22T00:00:00"/>
        <d v="2017-09-12T00:00:00"/>
        <d v="2022-08-31T00:00:00"/>
        <d v="2018-07-10T00:00:00"/>
        <d v="2022-09-12T00:00:00"/>
        <d v="2021-11-04T00:00:00"/>
        <d v="2015-02-05T00:00:00"/>
        <d v="2023-05-30T00:00:00"/>
        <d v="2020-11-23T00:00:00"/>
        <d v="2018-12-22T00:00:00"/>
        <d v="2021-04-09T00:00:00"/>
        <d v="2022-03-10T00:00:00"/>
        <d v="2021-11-07T00:00:00"/>
        <d v="2017-09-22T00:00:00"/>
        <d v="2020-06-02T00:00:00"/>
        <d v="2018-12-26T00:00:00"/>
        <d v="2016-02-01T00:00:00"/>
        <d v="2016-05-29T00:00:00"/>
        <d v="2020-03-28T00:00:00"/>
        <d v="2015-12-26T00:00:00"/>
        <d v="2022-08-05T00:00:00"/>
        <d v="2016-03-04T00:00:00"/>
        <d v="2023-06-10T00:00:00"/>
        <d v="2017-01-17T00:00:00"/>
        <d v="2019-10-28T00:00:00"/>
        <d v="2023-03-09T00:00:00"/>
        <d v="2019-05-27T00:00:00"/>
        <d v="2016-05-28T00:00:00"/>
        <d v="2019-04-06T00:00:00"/>
        <d v="2022-09-29T00:00:00"/>
        <d v="2023-10-09T00:00:00"/>
        <d v="2017-04-06T00:00:00"/>
        <d v="2023-03-23T00:00:00"/>
        <d v="2023-07-03T00:00:00"/>
        <d v="2016-02-28T00:00:00"/>
        <d v="2021-02-19T00:00:00"/>
        <d v="2021-05-24T00:00:00"/>
        <d v="2016-01-28T00:00:00"/>
        <d v="2019-09-02T00:00:00"/>
        <d v="2015-01-16T00:00:00"/>
        <d v="2023-10-02T00:00:00"/>
        <d v="2019-06-10T00:00:00"/>
        <d v="2023-11-16T00:00:00"/>
        <d v="2016-11-24T00:00:00"/>
        <d v="2023-10-28T00:00:00"/>
        <d v="2017-09-02T00:00:00"/>
        <d v="2019-09-25T00:00:00"/>
        <d v="2022-03-28T00:00:00"/>
        <d v="2020-06-23T00:00:00"/>
        <d v="2020-12-11T00:00:00"/>
        <d v="2016-06-07T00:00:00"/>
        <d v="2019-12-15T00:00:00"/>
        <d v="2018-06-11T00:00:00"/>
        <d v="2017-12-07T00:00:00"/>
        <d v="2020-11-19T00:00:00"/>
        <d v="2017-11-20T00:00:00"/>
        <d v="2018-10-11T00:00:00"/>
        <d v="2017-08-25T00:00:00"/>
        <d v="2016-09-27T00:00:00"/>
        <d v="2020-10-21T00:00:00"/>
        <d v="2023-09-17T00:00:00"/>
        <d v="2019-04-22T00:00:00"/>
        <d v="2022-12-11T00:00:00"/>
        <d v="2021-10-16T00:00:00"/>
        <d v="2016-07-10T00:00:00"/>
        <d v="2020-02-11T00:00:00"/>
        <d v="2019-02-24T00:00:00"/>
        <d v="2022-02-11T00:00:00"/>
        <d v="2020-04-18T00:00:00"/>
        <d v="2020-06-05T00:00:00"/>
        <d v="2023-09-20T00:00:00"/>
        <d v="2019-04-15T00:00:00"/>
        <d v="2022-01-12T00:00:00"/>
        <d v="2017-08-16T00:00:00"/>
        <d v="2023-07-14T00:00:00"/>
        <d v="2021-01-28T00:00:00"/>
        <d v="2019-08-03T00:00:00"/>
        <d v="2020-10-19T00:00:00"/>
        <d v="2016-07-07T00:00:00"/>
        <d v="2018-10-01T00:00:00"/>
        <d v="2021-08-29T00:00:00"/>
        <d v="2019-10-15T00:00:00"/>
        <d v="2022-04-04T00:00:00"/>
        <d v="2022-03-15T00:00:00"/>
        <d v="2016-02-25T00:00:00"/>
        <d v="2017-10-30T00:00:00"/>
        <d v="2017-07-09T00:00:00"/>
        <d v="2017-03-21T00:00:00"/>
        <d v="2018-09-08T00:00:00"/>
        <d v="2023-03-07T00:00:00"/>
        <d v="2021-12-04T00:00:00"/>
        <d v="2015-10-31T00:00:00"/>
        <d v="2017-08-04T00:00:00"/>
        <d v="2021-06-06T00:00:00"/>
        <d v="2021-04-30T00:00:00"/>
        <d v="2020-09-21T00:00:00"/>
        <d v="2017-04-08T00:00:00"/>
        <d v="2019-05-21T00:00:00"/>
        <d v="2015-06-07T00:00:00"/>
        <d v="2016-03-12T00:00:00"/>
        <d v="2019-10-14T00:00:00"/>
        <d v="2022-01-30T00:00:00"/>
        <d v="2019-12-03T00:00:00"/>
        <d v="2016-08-07T00:00:00"/>
        <d v="2018-04-13T00:00:00"/>
        <d v="2022-11-07T00:00:00"/>
        <d v="2016-06-20T00:00:00"/>
        <d v="2015-07-15T00:00:00"/>
        <d v="2018-11-02T00:00:00"/>
        <d v="2020-01-30T00:00:00"/>
        <d v="2016-09-11T00:00:00"/>
        <d v="2018-11-19T00:00:00"/>
        <d v="2016-02-24T00:00:00"/>
        <d v="2020-04-11T00:00:00"/>
        <d v="2020-06-19T00:00:00"/>
        <d v="2022-03-25T00:00:00"/>
        <d v="2020-05-15T00:00:00"/>
        <d v="2018-02-26T00:00:00"/>
        <d v="2021-09-08T00:00:00"/>
        <d v="2020-11-16T00:00:00"/>
        <d v="2023-07-25T00:00:00"/>
        <d v="2016-01-05T00:00:00"/>
        <d v="2017-04-10T00:00:00"/>
        <d v="2019-02-21T00:00:00"/>
        <d v="2018-11-01T00:00:00"/>
        <d v="2015-01-01T00:00:00"/>
        <d v="2017-07-15T00:00:00"/>
        <d v="2021-04-17T00:00:00"/>
        <d v="2016-05-17T00:00:00"/>
        <d v="2023-05-27T00:00:00"/>
        <d v="2016-05-01T00:00:00"/>
        <d v="2023-04-06T00:00:00"/>
        <d v="2015-02-07T00:00:00"/>
        <d v="2015-10-14T00:00:00"/>
        <d v="2017-11-29T00:00:00"/>
        <d v="2020-07-28T00:00:00"/>
        <d v="2023-09-07T00:00:00"/>
        <d v="2017-12-14T00:00:00"/>
        <d v="2016-05-30T00:00:00"/>
        <d v="2016-03-17T00:00:00"/>
        <d v="2023-06-11T00:00:00"/>
        <d v="2016-06-21T00:00:00"/>
        <d v="2023-01-29T00:00:00"/>
        <d v="2022-01-04T00:00:00"/>
        <d v="2018-08-28T00:00:00"/>
        <d v="2016-11-25T00:00:00"/>
        <d v="2023-01-30T00:00:00"/>
        <d v="2017-05-17T00:00:00"/>
        <d v="2018-11-23T00:00:00"/>
        <d v="2020-01-18T00:00:00"/>
        <d v="2020-03-20T00:00:00"/>
        <d v="2016-03-26T00:00:00"/>
        <d v="2018-06-13T00:00:00"/>
        <d v="2020-11-25T00:00:00"/>
        <d v="2022-12-22T00:00:00"/>
        <d v="2017-08-03T00:00:00"/>
        <d v="2017-06-30T00:00:00"/>
        <d v="2021-10-05T00:00:00"/>
        <d v="2016-09-02T00:00:00"/>
        <d v="2021-03-15T00:00:00"/>
        <d v="2017-08-24T00:00:00"/>
        <d v="2022-02-14T00:00:00"/>
        <d v="2020-04-22T00:00:00"/>
        <d v="2015-02-11T00:00:00"/>
        <d v="2021-06-05T00:00:00"/>
        <d v="2018-09-12T00:00:00"/>
        <d v="2019-10-01T00:00:00"/>
        <d v="2019-10-04T00:00:00"/>
        <d v="2023-06-13T00:00:00"/>
        <d v="2018-04-09T00:00:00"/>
        <d v="2017-06-29T00:00:00"/>
        <d v="2015-09-23T00:00:00"/>
        <d v="2019-05-12T00:00:00"/>
        <d v="2018-07-13T00:00:00"/>
        <d v="2016-11-29T00:00:00"/>
        <d v="2021-05-15T00:00:00"/>
        <d v="2021-12-13T00:00:00"/>
        <d v="2018-02-13T00:00:00"/>
        <d v="2021-10-17T00:00:00"/>
        <d v="2022-04-07T00:00:00"/>
        <d v="2019-03-16T00:00:00"/>
        <d v="2015-12-03T00:00:00"/>
        <d v="2023-01-15T00:00:00"/>
        <d v="2015-09-28T00:00:00"/>
        <d v="2015-01-17T00:00:00"/>
        <d v="2016-03-14T00:00:00"/>
        <d v="2018-06-15T00:00:00"/>
        <d v="2021-12-16T00:00:00"/>
        <d v="2020-06-20T00:00:00"/>
        <d v="2015-10-08T00:00:00"/>
        <d v="2019-07-22T00:00:00"/>
        <d v="2017-03-25T00:00:00"/>
        <d v="2022-11-20T00:00:00"/>
        <d v="2022-05-16T00:00:00"/>
        <d v="2019-01-20T00:00:00"/>
        <d v="2022-02-21T00:00:00"/>
        <d v="2020-09-06T00:00:00"/>
        <d v="2015-09-12T00:00:00"/>
        <d v="2022-06-08T00:00:00"/>
        <d v="2015-07-19T00:00:00"/>
        <d v="2016-06-23T00:00:00"/>
        <d v="2018-08-02T00:00:00"/>
        <d v="2022-06-21T00:00:00"/>
        <d v="2018-09-05T00:00:00"/>
        <d v="2018-03-10T00:00:00"/>
        <d v="2020-01-31T00:00:00"/>
        <d v="2022-02-26T00:00:00"/>
        <d v="2017-10-10T00:00:00"/>
        <d v="2017-07-10T00:00:00"/>
        <d v="2017-07-31T00:00:00"/>
        <d v="2023-10-06T00:00:00"/>
        <d v="2016-01-19T00:00:00"/>
        <d v="2019-11-05T00:00:00"/>
        <d v="2022-06-29T00:00:00"/>
        <d v="2015-10-02T00:00:00"/>
        <d v="2017-06-13T00:00:00"/>
        <d v="2022-05-22T00:00:00"/>
        <d v="2018-02-24T00:00:00"/>
        <d v="2015-09-05T00:00:00"/>
        <d v="2017-02-14T00:00:00"/>
        <d v="2019-11-24T00:00:00"/>
        <d v="2023-08-06T00:00:00"/>
        <d v="2018-05-16T00:00:00"/>
        <d v="2015-03-03T00:00:00"/>
        <d v="2015-08-20T00:00:00"/>
        <d v="2023-09-26T00:00:00"/>
        <d v="2021-03-21T00:00:00"/>
        <d v="2015-10-24T00:00:00"/>
        <d v="2023-08-05T00:00:00"/>
        <d v="2018-07-12T00:00:00"/>
        <d v="2023-03-02T00:00:00"/>
        <d v="2021-11-11T00:00:00"/>
        <d v="2021-04-19T00:00:00"/>
        <d v="2018-10-23T00:00:00"/>
        <d v="2018-04-16T00:00:00"/>
        <d v="2020-05-14T00:00:00"/>
        <d v="2020-09-30T00:00:00"/>
        <d v="2022-11-03T00:00:00"/>
        <d v="2020-10-10T00:00:00"/>
        <d v="2022-01-20T00:00:00"/>
        <d v="2023-07-28T00:00:00"/>
        <d v="2022-12-26T00:00:00"/>
        <d v="2018-10-17T00:00:00"/>
        <d v="2022-11-15T00:00:00"/>
        <d v="2021-01-20T00:00:00"/>
        <d v="2022-06-23T00:00:00"/>
        <d v="2022-08-11T00:00:00"/>
        <d v="2020-01-28T00:00:00"/>
        <d v="2021-01-03T00:00:00"/>
        <d v="2019-09-26T00:00:00"/>
        <d v="2017-03-11T00:00:00"/>
        <d v="2015-11-18T00:00:00"/>
        <d v="2023-07-05T00:00:00"/>
        <d v="2023-12-10T00:00:00"/>
        <d v="2020-04-03T00:00:00"/>
        <d v="2016-12-05T00:00:00"/>
        <d v="2015-02-18T00:00:00"/>
        <d v="2019-04-16T00:00:00"/>
        <d v="2023-08-21T00:00:00"/>
        <d v="2016-10-22T00:00:00"/>
        <d v="2023-08-24T00:00:00"/>
        <d v="2019-03-15T00:00:00"/>
        <d v="2019-02-04T00:00:00"/>
        <d v="2015-03-06T00:00:00"/>
        <d v="2016-04-17T00:00:00"/>
        <d v="2019-10-10T00:00:00"/>
        <d v="2022-06-13T00:00:00"/>
        <d v="2017-01-21T00:00:00"/>
        <d v="2020-09-26T00:00:00"/>
        <d v="2016-11-03T00:00:00"/>
        <d v="2015-11-01T00:00:00"/>
        <d v="2020-08-08T00:00:00"/>
        <d v="2017-12-28T00:00:00"/>
        <d v="2022-02-07T00:00:00"/>
        <d v="2018-11-05T00:00:00"/>
        <d v="2017-05-19T00:00:00"/>
        <d v="2018-02-21T00:00:00"/>
        <d v="2023-02-10T00:00:00"/>
        <d v="2022-04-25T00:00:00"/>
        <d v="2019-11-20T00:00:00"/>
        <d v="2019-02-14T00:00:00"/>
        <d v="2017-08-19T00:00:00"/>
        <d v="2016-11-18T00:00:00"/>
        <d v="2017-10-26T00:00:00"/>
        <d v="2022-07-18T00:00:00"/>
        <d v="2015-10-20T00:00:00"/>
        <d v="2020-05-18T00:00:00"/>
        <d v="2020-07-21T00:00:00"/>
        <d v="2021-02-15T00:00:00"/>
        <d v="2019-12-11T00:00:00"/>
        <d v="2015-03-09T00:00:00"/>
        <d v="2020-02-03T00:00:00"/>
        <d v="2015-11-10T00:00:00"/>
        <d v="2018-02-10T00:00:00"/>
        <d v="2020-04-13T00:00:00"/>
        <d v="2017-12-25T00:00:00"/>
        <d v="2016-10-01T00:00:00"/>
        <d v="2021-07-10T00:00:00"/>
        <d v="2017-11-13T00:00:00"/>
        <d v="2022-07-03T00:00:00"/>
        <d v="2016-12-13T00:00:00"/>
        <d v="2021-09-22T00:00:00"/>
        <d v="2022-01-02T00:00:00"/>
        <d v="2022-07-07T00:00:00"/>
        <d v="2018-12-06T00:00:00"/>
        <d v="2016-04-09T00:00:00"/>
        <d v="2023-12-30T00:00:00"/>
        <d v="2019-06-22T00:00:00"/>
        <d v="2021-03-08T00:00:00"/>
        <d v="2019-01-28T00:00:00"/>
        <d v="2015-12-08T00:00:00"/>
        <d v="2015-09-11T00:00:00"/>
        <d v="2021-10-10T00:00:00"/>
        <d v="2017-09-20T00:00:00"/>
        <d v="2016-02-09T00:00:00"/>
        <d v="2017-09-15T00:00:00"/>
        <d v="2021-09-14T00:00:00"/>
        <d v="2017-07-18T00:00:00"/>
        <d v="2018-08-14T00:00:00"/>
        <d v="2016-12-28T00:00:00"/>
        <d v="2023-11-25T00:00:00"/>
        <d v="2020-05-07T00:00:00"/>
        <d v="2016-06-26T00:00:00"/>
        <d v="2016-10-23T00:00:00"/>
        <d v="2018-11-27T00:00:00"/>
        <d v="2017-02-10T00:00:00"/>
        <d v="2021-10-06T00:00:00"/>
        <d v="2023-03-31T00:00:00"/>
        <d v="2021-08-18T00:00:00"/>
        <d v="2018-02-04T00:00:00"/>
        <d v="2023-11-27T00:00:00"/>
        <d v="2016-12-08T00:00:00"/>
        <d v="2023-01-23T00:00:00"/>
        <d v="2023-12-01T00:00:00"/>
        <d v="2017-07-25T00:00:00"/>
        <d v="2021-05-12T00:00:00"/>
        <d v="2019-06-09T00:00:00"/>
        <d v="2016-11-02T00:00:00"/>
        <d v="2019-02-06T00:00:00"/>
        <d v="2015-10-15T00:00:00"/>
        <d v="2020-09-18T00:00:00"/>
        <d v="2016-01-16T00:00:00"/>
        <d v="2015-08-06T00:00:00"/>
        <d v="2020-09-07T00:00:00"/>
        <d v="2023-02-07T00:00:00"/>
        <d v="2018-02-09T00:00:00"/>
        <d v="2023-08-09T00:00:00"/>
        <d v="2023-04-01T00:00:00"/>
        <d v="2020-07-11T00:00:00"/>
        <d v="2022-08-21T00:00:00"/>
        <d v="2022-11-18T00:00:00"/>
        <d v="2023-06-30T00:00:00"/>
        <d v="2017-05-07T00:00:00"/>
        <d v="2021-10-22T00:00:00"/>
        <d v="2018-03-20T00:00:00"/>
        <d v="2015-12-16T00:00:00"/>
        <d v="2022-12-07T00:00:00"/>
        <d v="2021-05-08T00:00:00"/>
        <d v="2017-11-19T00:00:00"/>
        <d v="2016-08-09T00:00:00"/>
        <d v="2017-04-13T00:00:00"/>
        <d v="2023-05-26T00:00:00"/>
        <d v="2020-10-15T00:00:00"/>
        <d v="2018-12-24T00:00:00"/>
        <d v="2018-06-04T00:00:00"/>
        <d v="2016-06-11T00:00:00"/>
        <d v="2016-01-26T00:00:00"/>
        <d v="2018-02-03T00:00:00"/>
        <d v="2022-04-20T00:00:00"/>
        <d v="2021-06-22T00:00:00"/>
        <d v="2017-06-12T00:00:00"/>
        <d v="2022-09-14T00:00:00"/>
        <d v="2015-09-21T00:00:00"/>
        <d v="2023-01-08T00:00:00"/>
        <d v="2018-12-27T00:00:00"/>
        <d v="2017-11-26T00:00:00"/>
        <d v="2021-06-08T00:00:00"/>
        <d v="2022-09-05T00:00:00"/>
        <d v="2015-06-06T00:00:00"/>
        <d v="2021-10-26T00:00:00"/>
        <d v="2019-04-05T00:00:00"/>
        <d v="2022-01-15T00:00:00"/>
        <d v="2015-04-10T00:00:00"/>
        <d v="2022-10-12T00:00:00"/>
        <d v="2023-04-26T00:00:00"/>
        <d v="2015-09-16T00:00:00"/>
        <d v="2016-08-19T00:00:00"/>
        <d v="2023-10-24T00:00:00"/>
        <d v="2016-10-29T00:00:00"/>
        <d v="2020-11-06T00:00:00"/>
        <d v="2019-06-16T00:00:00"/>
        <d v="2020-12-13T00:00:00"/>
        <d v="2018-12-21T00:00:00"/>
        <d v="2023-02-13T00:00:00"/>
        <d v="2022-09-23T00:00:00"/>
        <d v="2020-11-01T00:00:00"/>
        <d v="2017-03-10T00:00:00"/>
        <d v="2018-05-06T00:00:00"/>
        <d v="2020-06-07T00:00:00"/>
        <d v="2018-10-21T00:00:00"/>
        <d v="2019-02-20T00:00:00"/>
        <d v="2022-01-19T00:00:00"/>
        <d v="2016-02-27T00:00:00"/>
        <d v="2019-09-07T00:00:00"/>
        <d v="2021-03-24T00:00:00"/>
        <d v="2017-10-22T00:00:00"/>
        <d v="2017-01-30T00:00:00"/>
        <d v="2019-03-14T00:00:00"/>
        <d v="2015-10-10T00:00:00"/>
        <d v="2020-06-12T00:00:00"/>
        <d v="2017-08-06T00:00:00"/>
        <d v="2020-02-20T00:00:00"/>
        <d v="2015-05-25T00:00:00"/>
        <d v="2021-11-09T00:00:00"/>
        <d v="2023-06-02T00:00:00"/>
        <d v="2021-08-17T00:00:00"/>
        <d v="2022-02-19T00:00:00"/>
        <d v="2017-11-14T00:00:00"/>
        <d v="2020-10-05T00:00:00"/>
        <d v="2021-04-10T00:00:00"/>
        <d v="2023-12-09T00:00:00"/>
        <d v="2020-08-30T00:00:00"/>
        <d v="2021-06-11T00:00:00"/>
        <d v="2022-03-19T00:00:00"/>
        <d v="2021-02-05T00:00:00"/>
        <d v="2023-12-21T00:00:00"/>
        <d v="2021-01-09T00:00:00"/>
        <d v="2021-04-15T00:00:00"/>
        <d v="2018-05-29T00:00:00"/>
        <d v="2015-04-26T00:00:00"/>
        <d v="2015-12-15T00:00:00"/>
        <d v="2016-05-23T00:00:00"/>
        <d v="2017-06-20T00:00:00"/>
        <d v="2019-07-14T00:00:00"/>
        <d v="2021-01-21T00:00:00"/>
        <d v="2019-04-19T00:00:00"/>
        <d v="2018-03-13T00:00:00"/>
        <d v="2022-09-24T00:00:00"/>
        <d v="2021-06-09T00:00:00"/>
        <d v="2020-10-17T00:00:00"/>
        <d v="2023-03-12T00:00:00"/>
        <d v="2022-02-12T00:00:00"/>
        <d v="2016-12-02T00:00:00"/>
        <d v="2019-08-25T00:00:00"/>
        <d v="2017-07-17T00:00:00"/>
        <d v="2016-10-16T00:00:00"/>
        <d v="2023-07-19T00:00:00"/>
        <d v="2019-11-09T00:00:00"/>
        <d v="2021-05-04T00:00:00"/>
        <d v="2019-02-02T00:00:00"/>
        <d v="2022-04-03T00:00:00"/>
        <d v="2017-02-16T00:00:00"/>
        <d v="2022-06-16T00:00:00"/>
        <d v="2022-06-01T00:00:00"/>
        <d v="2022-01-21T00:00:00"/>
        <d v="2017-10-14T00:00:00"/>
        <d v="2022-01-01T00:00:00"/>
        <d v="2019-06-01T00:00:00"/>
        <d v="2023-01-27T00:00:00"/>
        <d v="2022-06-18T00:00:00"/>
        <d v="2020-06-30T00:00:00"/>
        <d v="2021-04-07T00:00:00"/>
        <d v="2015-08-25T00:00:00"/>
        <d v="2017-06-19T00:00:00"/>
        <d v="2016-07-20T00:00:00"/>
        <d v="2015-12-12T00:00:00"/>
        <d v="2022-11-21T00:00:00"/>
        <d v="2018-02-22T00:00:00"/>
        <d v="2020-07-29T00:00:00"/>
        <d v="2019-03-20T00:00:00"/>
        <d v="2022-10-26T00:00:00"/>
        <d v="2023-01-22T00:00:00"/>
        <d v="2019-10-08T00:00:00"/>
        <d v="2017-09-25T00:00:00"/>
        <d v="2017-11-22T00:00:00"/>
        <d v="2018-04-22T00:00:00"/>
        <d v="2021-07-20T00:00:00"/>
        <d v="2021-09-13T00:00:00"/>
        <d v="2019-06-08T00:00:00"/>
        <d v="2022-09-04T00:00:00"/>
        <d v="2023-08-12T00:00:00"/>
        <d v="2022-11-25T00:00:00"/>
        <d v="2022-11-19T00:00:00"/>
        <d v="2017-11-12T00:00:00"/>
        <d v="2023-07-02T00:00:00"/>
        <d v="2018-09-15T00:00:00"/>
        <d v="2023-05-09T00:00:00"/>
        <d v="2022-06-26T00:00:00"/>
        <d v="2019-11-25T00:00:00"/>
        <d v="2021-01-31T00:00:00"/>
        <d v="2019-05-13T00:00:00"/>
        <d v="2015-01-09T00:00:00"/>
        <d v="2019-07-25T00:00:00"/>
        <d v="2015-05-24T00:00:00"/>
        <d v="2018-05-20T00:00:00"/>
        <d v="2019-09-17T00:00:00"/>
        <d v="2020-06-16T00:00:00"/>
        <d v="2022-04-28T00:00:00"/>
        <d v="2023-04-10T00:00:00"/>
        <d v="2018-05-24T00:00:00"/>
        <d v="2017-12-31T00:00:00"/>
        <d v="2021-04-16T00:00:00"/>
        <d v="2022-06-30T00:00:00"/>
        <d v="2020-05-01T00:00:00"/>
        <d v="2015-10-26T00:00:00"/>
        <d v="2018-10-28T00:00:00"/>
        <d v="2015-07-17T00:00:00"/>
        <d v="2017-07-16T00:00:00"/>
        <d v="2016-05-14T00:00:00"/>
        <d v="2021-03-05T00:00:00"/>
        <d v="2023-01-18T00:00:00"/>
        <d v="2016-12-27T00:00:00"/>
        <d v="2015-12-04T00:00:00"/>
        <d v="2018-09-09T00:00:00"/>
        <d v="2019-01-09T00:00:00"/>
        <d v="2015-02-27T00:00:00"/>
        <d v="2016-11-19T00:00:00"/>
        <d v="2023-09-08T00:00:00"/>
        <d v="2015-02-08T00:00:00"/>
        <d v="2021-12-23T00:00:00"/>
        <d v="2018-05-21T00:00:00"/>
        <d v="2018-09-14T00:00:00"/>
        <d v="2018-05-03T00:00:00"/>
        <d v="2015-09-20T00:00:00"/>
        <d v="2015-11-16T00:00:00"/>
        <d v="2015-07-13T00:00:00"/>
        <d v="2020-02-24T00:00:00"/>
        <d v="2017-03-26T00:00:00"/>
        <d v="2020-11-30T00:00:00"/>
        <d v="2018-03-16T00:00:00"/>
        <d v="2020-11-28T00:00:00"/>
        <d v="2015-11-30T00:00:00"/>
        <d v="2018-10-16T00:00:00"/>
        <d v="2022-03-30T00:00:00"/>
        <d v="2021-04-08T00:00:00"/>
        <d v="2015-11-21T00:00:00"/>
        <d v="2020-11-02T00:00:00"/>
        <d v="2015-08-04T00:00:00"/>
        <d v="2016-12-18T00:00:00"/>
        <d v="2021-09-25T00:00:00"/>
        <d v="2021-03-11T00:00:00"/>
        <d v="2015-04-05T00:00:00"/>
        <d v="2023-02-17T00:00:00"/>
        <d v="2020-03-26T00:00:00"/>
        <d v="2020-05-11T00:00:00"/>
        <d v="2020-12-29T00:00:00"/>
        <d v="2020-06-01T00:00:00"/>
        <d v="2021-02-28T00:00:00"/>
        <d v="2016-10-11T00:00:00"/>
        <d v="2017-06-02T00:00:00"/>
        <d v="2022-05-04T00:00:00"/>
        <d v="2016-04-20T00:00:00"/>
        <d v="2016-09-26T00:00:00"/>
        <d v="2023-11-04T00:00:00"/>
        <d v="2017-08-12T00:00:00"/>
        <d v="2022-04-29T00:00:00"/>
        <d v="2018-01-09T00:00:00"/>
        <d v="2016-09-19T00:00:00"/>
        <d v="2020-04-05T00:00:00"/>
        <d v="2020-04-02T00:00:00"/>
        <d v="2015-06-21T00:00:00"/>
        <d v="2016-08-01T00:00:00"/>
        <d v="2021-10-08T00:00:00"/>
        <d v="2015-07-12T00:00:00"/>
        <d v="2015-01-18T00:00:00"/>
        <d v="2015-03-30T00:00:00"/>
        <d v="2016-03-16T00:00:00"/>
        <d v="2020-08-02T00:00:00"/>
        <d v="2016-10-07T00:00:00"/>
        <d v="2017-12-16T00:00:00"/>
        <d v="2017-12-04T00:00:00"/>
        <d v="2023-05-18T00:00:00"/>
        <d v="2017-08-02T00:00:00"/>
        <d v="2020-12-07T00:00:00"/>
        <d v="2020-06-04T00:00:00"/>
        <d v="2017-11-28T00:00:00"/>
        <d v="2019-07-08T00:00:00"/>
        <d v="2021-11-14T00:00:00"/>
        <d v="2020-01-06T00:00:00"/>
        <d v="2023-08-27T00:00:00"/>
        <d v="2020-04-15T00:00:00"/>
        <d v="2018-11-28T00:00:00"/>
        <d v="2022-12-08T00:00:00"/>
        <d v="2020-04-28T00:00:00"/>
        <d v="2016-01-08T00:00:00"/>
        <d v="2015-07-24T00:00:00"/>
        <d v="2019-10-05T00:00:00"/>
        <d v="2019-09-22T00:00:00"/>
        <d v="2021-06-15T00:00:00"/>
        <d v="2017-12-21T00:00:00"/>
        <d v="2016-10-12T00:00:00"/>
        <d v="2023-02-20T00:00:00"/>
        <d v="2022-07-19T00:00:00"/>
        <d v="2019-03-04T00:00:00"/>
        <d v="2018-12-17T00:00:00"/>
        <d v="2016-05-13T00:00:00"/>
        <d v="2022-10-03T00:00:00"/>
        <d v="2015-11-19T00:00:00"/>
        <d v="2020-02-27T00:00:00"/>
        <d v="2015-04-06T00:00:00"/>
        <d v="2022-01-05T00:00:00"/>
        <d v="2016-12-03T00:00:00"/>
        <d v="2019-09-15T00:00:00"/>
        <d v="2019-04-11T00:00:00"/>
        <d v="2023-11-15T00:00:00"/>
        <d v="2016-11-23T00:00:00"/>
        <d v="2017-06-05T00:00:00"/>
        <d v="2019-07-16T00:00:00"/>
        <d v="2016-09-04T00:00:00"/>
        <d v="2015-03-01T00:00:00"/>
        <d v="2016-06-04T00:00:00"/>
        <d v="2016-11-07T00:00:00"/>
        <d v="2017-10-12T00:00:00"/>
        <d v="2022-10-24T00:00:00"/>
        <d v="2015-04-01T00:00:00"/>
        <d v="2018-09-04T00:00:00"/>
        <d v="2018-11-30T00:00:00"/>
        <d v="2020-02-15T00:00:00"/>
        <d v="2020-11-13T00:00:00"/>
        <d v="2022-12-10T00:00:00"/>
        <d v="2022-03-09T00:00:00"/>
        <d v="2021-11-02T00:00:00"/>
        <d v="2021-08-04T00:00:00"/>
        <d v="2022-02-02T00:00:00"/>
        <d v="2019-08-08T00:00:00"/>
        <d v="2022-12-05T00:00:00"/>
        <d v="2021-05-09T00:00:00"/>
        <d v="2016-03-10T00:00:00"/>
        <d v="2020-01-20T00:00:00"/>
        <d v="2022-06-05T00:00:00"/>
        <d v="2021-03-02T00:00:00"/>
        <d v="2023-10-10T00:00:00"/>
        <d v="2020-04-25T00:00:00"/>
        <d v="2017-07-05T00:00:00"/>
        <d v="2019-05-06T00:00:00"/>
        <d v="2020-05-25T00:00:00"/>
        <d v="2020-03-09T00:00:00"/>
        <d v="2017-10-17T00:00:00"/>
        <d v="2016-06-01T00:00:00"/>
        <d v="2016-01-22T00:00:00"/>
        <d v="2015-05-09T00:00:00"/>
        <d v="2021-01-16T00:00:00"/>
        <d v="2015-01-24T00:00:00"/>
        <d v="2016-04-11T00:00:00"/>
        <d v="2023-10-27T00:00:00"/>
        <d v="2019-07-04T00:00:00"/>
        <d v="2017-06-26T00:00:00"/>
        <d v="2022-11-04T00:00:00"/>
        <d v="2019-08-09T00:00:00"/>
        <d v="2021-10-25T00:00:00"/>
        <d v="2020-10-13T00:00:00"/>
        <d v="2016-04-22T00:00:00"/>
        <d v="2018-06-10T00:00:00"/>
        <d v="2016-10-30T00:00:00"/>
        <d v="2019-05-08T00:00:00"/>
        <d v="2016-12-30T00:00:00"/>
        <d v="2020-10-07T00:00:00"/>
        <d v="2019-01-05T00:00:00"/>
        <d v="2017-09-21T00:00:00"/>
        <d v="2021-03-20T00:00:00"/>
        <d v="2018-01-05T00:00:00"/>
        <d v="2021-12-26T00:00:00"/>
        <d v="2019-02-23T00:00:00"/>
        <d v="2015-01-02T00:00:00"/>
        <d v="2022-12-27T00:00:00"/>
        <d v="2018-12-08T00:00:00"/>
        <d v="2023-05-03T00:00:00"/>
        <d v="2022-02-24T00:00:00"/>
        <d v="2021-11-25T00:00:00"/>
        <d v="2017-01-14T00:00:00"/>
        <d v="2023-07-12T00:00:00"/>
        <d v="2021-05-23T00:00:00"/>
        <d v="2020-08-25T00:00:00"/>
        <d v="2017-04-02T00:00:00"/>
        <d v="2022-04-30T00:00:00"/>
        <d v="2017-04-07T00:00:00"/>
        <d v="2015-01-26T00:00:00"/>
        <d v="2021-10-07T00:00:00"/>
        <d v="2018-06-18T00:00:00"/>
        <d v="2015-12-17T00:00:00"/>
        <d v="2020-04-21T00:00:00"/>
        <d v="2023-10-04T00:00:00"/>
        <d v="2017-01-29T00:00:00"/>
        <d v="2018-04-27T00:00:00"/>
        <d v="2023-02-11T00:00:00"/>
        <d v="2021-07-07T00:00:00"/>
        <d v="2018-12-02T00:00:00"/>
        <d v="2022-05-13T00:00:00"/>
        <d v="2020-06-10T00:00:00"/>
        <d v="2022-08-02T00:00:00"/>
        <d v="2019-11-03T00:00:00"/>
        <d v="2017-04-20T00:00:00"/>
        <d v="2021-06-07T00:00:00"/>
        <d v="2016-05-05T00:00:00"/>
        <d v="2018-05-09T00:00:00"/>
        <d v="2016-08-16T00:00:00"/>
        <d v="2017-02-09T00:00:00"/>
        <d v="2017-03-30T00:00:00"/>
        <d v="2019-02-26T00:00:00"/>
        <d v="2017-04-19T00:00:00"/>
        <d v="2018-02-23T00:00:00"/>
        <d v="2019-12-25T00:00:00"/>
        <d v="2022-04-12T00:00:00"/>
        <d v="2019-02-25T00:00:00"/>
        <d v="2022-10-25T00:00:00"/>
        <d v="2019-09-14T00:00:00"/>
        <d v="2019-12-16T00:00:00"/>
        <d v="2023-07-27T00:00:00"/>
        <d v="2018-03-07T00:00:00"/>
        <d v="2022-04-08T00:00:00"/>
        <d v="2020-03-14T00:00:00"/>
        <d v="2021-11-17T00:00:00"/>
        <d v="2016-08-08T00:00:00"/>
        <d v="2023-08-23T00:00:00"/>
        <d v="2019-01-13T00:00:00"/>
        <d v="2023-08-22T00:00:00"/>
        <d v="2015-01-20T00:00:00"/>
        <d v="2018-04-14T00:00:00"/>
        <d v="2023-03-10T00:00:00"/>
        <d v="2017-11-07T00:00:00"/>
        <d v="2016-07-19T00:00:00"/>
        <d v="2020-01-03T00:00:00"/>
        <d v="2019-06-26T00:00:00"/>
        <d v="2015-02-28T00:00:00"/>
        <d v="2020-11-07T00:00:00"/>
        <d v="2019-06-17T00:00:00"/>
        <d v="2016-09-30T00:00:00"/>
        <d v="2015-12-31T00:00:00"/>
        <d v="2020-04-30T00:00:00"/>
        <d v="2021-02-12T00:00:00"/>
        <d v="2018-03-03T00:00:00"/>
        <d v="2021-11-29T00:00:00"/>
        <d v="2016-02-13T00:00:00"/>
        <d v="2017-03-17T00:00:00"/>
        <d v="2021-11-24T00:00:00"/>
        <d v="2020-05-20T00:00:00"/>
        <d v="2018-08-10T00:00:00"/>
        <d v="2022-09-30T00:00:00"/>
        <d v="2015-06-22T00:00:00"/>
        <d v="2015-01-19T00:00:00"/>
        <d v="2018-10-25T00:00:00"/>
        <d v="2019-08-15T00:00:00"/>
        <d v="2019-07-28T00:00:00"/>
        <d v="2020-03-30T00:00:00"/>
        <d v="2023-08-31T00:00:00"/>
        <d v="2023-05-01T00:00:00"/>
        <d v="2017-05-16T00:00:00"/>
        <d v="2017-12-23T00:00:00"/>
        <d v="2018-03-30T00:00:00"/>
        <d v="2020-07-20T00:00:00"/>
        <d v="2023-03-28T00:00:00"/>
        <d v="2022-06-02T00:00:00"/>
        <d v="2022-10-29T00:00:00"/>
        <d v="2020-02-17T00:00:00"/>
        <d v="2023-02-08T00:00:00"/>
        <d v="2022-05-02T00:00:00"/>
        <d v="2023-11-17T00:00:00"/>
        <d v="2017-10-09T00:00:00"/>
        <d v="2022-01-09T00:00:00"/>
        <d v="2015-04-21T00:00:00"/>
        <d v="2020-01-19T00:00:00"/>
        <d v="2022-10-28T00:00:00"/>
        <d v="2023-03-03T00:00:00"/>
        <d v="2018-01-15T00:00:00"/>
        <d v="2020-06-08T00:00:00"/>
        <d v="2023-04-22T00:00:00"/>
        <d v="2019-11-15T00:00:00"/>
        <d v="2019-06-13T00:00:00"/>
        <d v="2018-08-30T00:00:00"/>
        <d v="2020-08-23T00:00:00"/>
        <d v="2016-12-07T00:00:00"/>
        <d v="2018-02-01T00:00:00"/>
        <d v="2020-11-09T00:00:00"/>
        <d v="2016-02-21T00:00:00"/>
        <d v="2019-06-15T00:00:00"/>
        <d v="2021-02-17T00:00:00"/>
        <d v="2019-12-04T00:00:00"/>
        <d v="2019-08-23T00:00:00"/>
        <d v="2017-08-28T00:00:00"/>
        <d v="2021-12-18T00:00:00"/>
        <d v="2021-06-25T00:00:00"/>
        <d v="2023-09-29T00:00:00"/>
        <d v="2017-08-27T00:00:00"/>
        <d v="2019-03-07T00:00:00"/>
        <d v="2022-12-17T00:00:00"/>
        <d v="2023-11-22T00:00:00"/>
        <d v="2018-07-07T00:00:00"/>
        <d v="2022-04-17T00:00:00"/>
        <d v="2016-09-15T00:00:00"/>
        <d v="2015-10-01T00:00:00"/>
        <d v="2017-11-06T00:00:00"/>
        <d v="2018-07-08T00:00:00"/>
        <d v="2017-12-05T00:00:00"/>
        <d v="2021-08-21T00:00:00"/>
        <d v="2023-07-11T00:00:00"/>
        <d v="2015-04-15T00:00:00"/>
        <d v="2015-12-02T00:00:00"/>
        <d v="2023-11-07T00:00:00"/>
        <d v="2016-03-06T00:00:00"/>
        <d v="2015-05-30T00:00:00"/>
        <d v="2022-11-24T00:00:00"/>
        <d v="2017-04-25T00:00:00"/>
        <d v="2017-03-15T00:00:00"/>
        <d v="2022-08-24T00:00:00"/>
        <d v="2020-11-12T00:00:00"/>
        <d v="2018-03-22T00:00:00"/>
        <d v="2023-07-31T00:00:00"/>
        <d v="2017-03-24T00:00:00"/>
        <d v="2021-10-11T00:00:00"/>
        <d v="2023-10-16T00:00:00"/>
        <d v="2019-02-19T00:00:00"/>
        <d v="2022-07-15T00:00:00"/>
        <d v="2020-08-06T00:00:00"/>
        <d v="2022-11-02T00:00:00"/>
        <d v="2020-02-06T00:00:00"/>
        <d v="2019-03-08T00:00:00"/>
        <d v="2015-07-08T00:00:00"/>
        <d v="2021-05-21T00:00:00"/>
        <d v="2021-12-08T00:00:00"/>
        <d v="2017-11-03T00:00:00"/>
        <d v="2018-03-29T00:00:00"/>
        <d v="2021-07-04T00:00:00"/>
        <d v="2022-01-28T00:00:00"/>
        <d v="2015-10-07T00:00:00"/>
        <d v="2017-03-12T00:00:00"/>
        <d v="2018-06-28T00:00:00"/>
        <d v="2018-01-02T00:00:00"/>
        <d v="2017-07-14T00:00:00"/>
        <d v="2015-05-08T00:00:00"/>
        <d v="2018-04-17T00:00:00"/>
        <d v="2020-07-24T00:00:00"/>
      </sharedItems>
      <fieldGroup par="18"/>
    </cacheField>
    <cacheField name="Release_Year" numFmtId="0">
      <sharedItems containsSemiMixedTypes="0" containsString="0" containsNumber="1" containsInteger="1" minValue="1990" maxValue="2023" count="34">
        <n v="2014"/>
        <n v="1993"/>
        <n v="2000"/>
        <n v="2013"/>
        <n v="2009"/>
        <n v="2020"/>
        <n v="2002"/>
        <n v="2004"/>
        <n v="2010"/>
        <n v="1990"/>
        <n v="2017"/>
        <n v="2021"/>
        <n v="2007"/>
        <n v="2008"/>
        <n v="2011"/>
        <n v="1991"/>
        <n v="2001"/>
        <n v="2023"/>
        <n v="2016"/>
        <n v="2005"/>
        <n v="2012"/>
        <n v="2018"/>
        <n v="1999"/>
        <n v="1997"/>
        <n v="2015"/>
        <n v="2022"/>
        <n v="2006"/>
        <n v="1994"/>
        <n v="1998"/>
        <n v="1995"/>
        <n v="1992"/>
        <n v="2019"/>
        <n v="2003"/>
        <n v="1996"/>
      </sharedItems>
      <fieldGroup base="7">
        <rangePr startNum="1990" endNum="2023" groupInterval="10"/>
        <groupItems count="6">
          <s v="&lt;1990"/>
          <s v="1990-1999"/>
          <s v="2000-2009"/>
          <s v="2010-2019"/>
          <s v="2020-2029"/>
          <s v="&gt;2030"/>
        </groupItems>
      </fieldGroup>
    </cacheField>
    <cacheField name="Maturity_Ratings" numFmtId="0">
      <sharedItems count="6">
        <s v="R"/>
        <s v="TV-PG"/>
        <s v="NR"/>
        <s v="PG-13"/>
        <s v="TV-14"/>
        <s v="TV-MA"/>
      </sharedItems>
    </cacheField>
    <cacheField name="Duration_Value" numFmtId="0">
      <sharedItems containsSemiMixedTypes="0" containsString="0" containsNumber="1" containsInteger="1" minValue="1" maxValue="180" count="131">
        <n v="5"/>
        <n v="140"/>
        <n v="4"/>
        <n v="180"/>
        <n v="9"/>
        <n v="169"/>
        <n v="143"/>
        <n v="3"/>
        <n v="155"/>
        <n v="2"/>
        <n v="1"/>
        <n v="123"/>
        <n v="167"/>
        <n v="6"/>
        <n v="84"/>
        <n v="7"/>
        <n v="158"/>
        <n v="92"/>
        <n v="153"/>
        <n v="99"/>
        <n v="136"/>
        <n v="133"/>
        <n v="154"/>
        <n v="164"/>
        <n v="106"/>
        <n v="61"/>
        <n v="10"/>
        <n v="170"/>
        <n v="165"/>
        <n v="8"/>
        <n v="79"/>
        <n v="134"/>
        <n v="93"/>
        <n v="60"/>
        <n v="129"/>
        <n v="83"/>
        <n v="85"/>
        <n v="102"/>
        <n v="122"/>
        <n v="126"/>
        <n v="69"/>
        <n v="62"/>
        <n v="162"/>
        <n v="72"/>
        <n v="160"/>
        <n v="132"/>
        <n v="113"/>
        <n v="145"/>
        <n v="97"/>
        <n v="114"/>
        <n v="100"/>
        <n v="64"/>
        <n v="142"/>
        <n v="131"/>
        <n v="139"/>
        <n v="119"/>
        <n v="63"/>
        <n v="161"/>
        <n v="175"/>
        <n v="117"/>
        <n v="146"/>
        <n v="176"/>
        <n v="141"/>
        <n v="109"/>
        <n v="89"/>
        <n v="152"/>
        <n v="94"/>
        <n v="103"/>
        <n v="150"/>
        <n v="78"/>
        <n v="101"/>
        <n v="174"/>
        <n v="138"/>
        <n v="156"/>
        <n v="73"/>
        <n v="88"/>
        <n v="171"/>
        <n v="87"/>
        <n v="127"/>
        <n v="168"/>
        <n v="135"/>
        <n v="76"/>
        <n v="67"/>
        <n v="120"/>
        <n v="66"/>
        <n v="172"/>
        <n v="148"/>
        <n v="151"/>
        <n v="179"/>
        <n v="80"/>
        <n v="173"/>
        <n v="159"/>
        <n v="95"/>
        <n v="98"/>
        <n v="70"/>
        <n v="137"/>
        <n v="178"/>
        <n v="71"/>
        <n v="77"/>
        <n v="111"/>
        <n v="65"/>
        <n v="130"/>
        <n v="68"/>
        <n v="86"/>
        <n v="82"/>
        <n v="75"/>
        <n v="108"/>
        <n v="144"/>
        <n v="149"/>
        <n v="128"/>
        <n v="74"/>
        <n v="166"/>
        <n v="177"/>
        <n v="105"/>
        <n v="147"/>
        <n v="125"/>
        <n v="107"/>
        <n v="115"/>
        <n v="110"/>
        <n v="116"/>
        <n v="124"/>
        <n v="91"/>
        <n v="96"/>
        <n v="163"/>
        <n v="118"/>
        <n v="112"/>
        <n v="104"/>
        <n v="81"/>
        <n v="157"/>
        <n v="121"/>
        <n v="90"/>
      </sharedItems>
      <fieldGroup base="9">
        <rangePr autoStart="0" startNum="60" endNum="180" groupInterval="20"/>
        <groupItems count="8">
          <s v="&lt;60"/>
          <s v="60-79"/>
          <s v="80-99"/>
          <s v="100-119"/>
          <s v="120-139"/>
          <s v="140-159"/>
          <s v="160-180"/>
          <s v="&gt;180"/>
        </groupItems>
      </fieldGroup>
    </cacheField>
    <cacheField name="Duration_Type" numFmtId="0">
      <sharedItems count="2">
        <s v="Seasons"/>
        <s v="Mins"/>
      </sharedItems>
    </cacheField>
    <cacheField name="Genres" numFmtId="0">
      <sharedItems count="6">
        <s v="Comedies"/>
        <s v="Crime Tv Shows"/>
        <s v="Action &amp; Adventure"/>
        <s v="Horror Movies, Thrillers"/>
        <s v="International Tv Shows, Tv Dramas"/>
        <s v="Documentaries"/>
      </sharedItems>
    </cacheField>
    <cacheField name="User_Rating" numFmtId="0">
      <sharedItems containsSemiMixedTypes="0" containsString="0" containsNumber="1" minValue="1" maxValue="999"/>
    </cacheField>
    <cacheField name="Views_Millions" numFmtId="0">
      <sharedItems containsSemiMixedTypes="0" containsString="0" containsNumber="1" minValue="0.13" maxValue="149.81"/>
    </cacheField>
    <cacheField name="Budget_Usd" numFmtId="0">
      <sharedItems containsSemiMixedTypes="0" containsString="0" containsNumber="1" containsInteger="1" minValue="1146000" maxValue="100713000"/>
    </cacheField>
    <cacheField name="Category_Of_Ownership" numFmtId="0">
      <sharedItems count="2">
        <s v="Licensed"/>
        <s v="Original"/>
      </sharedItems>
    </cacheField>
    <cacheField name="Months (Content_Aded)" numFmtId="0" databaseField="0">
      <fieldGroup base="6">
        <rangePr groupBy="months" startDate="2015-01-01T00:00:00" endDate="2023-12-31T00:00:00"/>
        <groupItems count="14">
          <s v="&lt;01-01-15"/>
          <s v="Jan"/>
          <s v="Feb"/>
          <s v="Mar"/>
          <s v="Apr"/>
          <s v="May"/>
          <s v="Jun"/>
          <s v="Jul"/>
          <s v="Aug"/>
          <s v="Sep"/>
          <s v="Oct"/>
          <s v="Nov"/>
          <s v="Dec"/>
          <s v="&gt;31-12-23"/>
        </groupItems>
      </fieldGroup>
    </cacheField>
    <cacheField name="Quarters (Content_Aded)" numFmtId="0" databaseField="0">
      <fieldGroup base="6">
        <rangePr groupBy="quarters" startDate="2015-01-01T00:00:00" endDate="2023-12-31T00:00:00"/>
        <groupItems count="6">
          <s v="&lt;01-01-15"/>
          <s v="Qtr1"/>
          <s v="Qtr2"/>
          <s v="Qtr3"/>
          <s v="Qtr4"/>
          <s v="&gt;31-12-23"/>
        </groupItems>
      </fieldGroup>
    </cacheField>
    <cacheField name="Years (Content_Aded)" numFmtId="0" databaseField="0">
      <fieldGroup base="6">
        <rangePr groupBy="years" startDate="2015-01-01T00:00:00" endDate="2023-12-31T00:00:00"/>
        <groupItems count="11">
          <s v="&lt;01-01-15"/>
          <s v="2015"/>
          <s v="2016"/>
          <s v="2017"/>
          <s v="2018"/>
          <s v="2019"/>
          <s v="2020"/>
          <s v="2021"/>
          <s v="2022"/>
          <s v="2023"/>
          <s v="&gt;31-12-23"/>
        </groupItems>
      </fieldGroup>
    </cacheField>
  </cacheFields>
  <extLst>
    <ext xmlns:x14="http://schemas.microsoft.com/office/spreadsheetml/2009/9/main" uri="{725AE2AE-9491-48be-B2B4-4EB974FC3084}">
      <x14:pivotCacheDefinition pivotCacheId="6993401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1"/>
    <x v="0"/>
    <s v="Synthetic Title 1"/>
    <s v="Christopher Nolan"/>
    <s v="Tom Hanks"/>
    <x v="0"/>
    <x v="0"/>
    <x v="0"/>
    <x v="0"/>
    <x v="0"/>
    <x v="0"/>
    <x v="0"/>
    <n v="2.4"/>
    <n v="54.89"/>
    <n v="88451000"/>
    <x v="0"/>
  </r>
  <r>
    <s v="S2"/>
    <x v="1"/>
    <s v="Synthetic Title 2"/>
    <s v="Steven Spielberg"/>
    <s v="Brad Pitt, Scarlett Johansson, Morgan Freeman"/>
    <x v="1"/>
    <x v="1"/>
    <x v="1"/>
    <x v="1"/>
    <x v="1"/>
    <x v="1"/>
    <x v="0"/>
    <n v="5.8"/>
    <n v="137.09"/>
    <n v="59729000"/>
    <x v="0"/>
  </r>
  <r>
    <s v="S3"/>
    <x v="0"/>
    <s v="Synthetic Title 3"/>
    <s v="Martin Scorsese"/>
    <s v="Tom Hanks, Scarlett Johansson"/>
    <x v="2"/>
    <x v="2"/>
    <x v="2"/>
    <x v="2"/>
    <x v="2"/>
    <x v="0"/>
    <x v="1"/>
    <n v="2.2999999999999998"/>
    <n v="32.69"/>
    <n v="45512000"/>
    <x v="0"/>
  </r>
  <r>
    <s v="S4"/>
    <x v="1"/>
    <s v="Synthetic Title 4"/>
    <s v="Greta Gerwig"/>
    <s v="Brad Pitt"/>
    <x v="2"/>
    <x v="3"/>
    <x v="3"/>
    <x v="1"/>
    <x v="3"/>
    <x v="1"/>
    <x v="2"/>
    <n v="5.0999999999999996"/>
    <n v="107.85"/>
    <n v="97146000"/>
    <x v="0"/>
  </r>
  <r>
    <s v="S5"/>
    <x v="0"/>
    <s v="Synthetic Title 5"/>
    <s v="Steven Spielberg"/>
    <s v="Tom Hanks, Scarlett Johansson, Brad Pitt"/>
    <x v="3"/>
    <x v="4"/>
    <x v="4"/>
    <x v="2"/>
    <x v="4"/>
    <x v="0"/>
    <x v="3"/>
    <n v="2"/>
    <n v="141.65"/>
    <n v="48429000"/>
    <x v="1"/>
  </r>
  <r>
    <s v="S6"/>
    <x v="1"/>
    <s v="Synthetic Title 6"/>
    <s v="Ava Duvernay"/>
    <s v="Viola Davis"/>
    <x v="4"/>
    <x v="5"/>
    <x v="5"/>
    <x v="2"/>
    <x v="3"/>
    <x v="1"/>
    <x v="4"/>
    <n v="6"/>
    <n v="3.56"/>
    <n v="54516000"/>
    <x v="0"/>
  </r>
  <r>
    <s v="S7"/>
    <x v="1"/>
    <s v="Synthetic Title 7"/>
    <s v="Ava Duvernay"/>
    <s v="Tom Hanks"/>
    <x v="2"/>
    <x v="6"/>
    <x v="6"/>
    <x v="3"/>
    <x v="5"/>
    <x v="1"/>
    <x v="3"/>
    <n v="7.2"/>
    <n v="51.81"/>
    <n v="5602000"/>
    <x v="1"/>
  </r>
  <r>
    <s v="S8"/>
    <x v="1"/>
    <s v="Synthetic Title 8"/>
    <s v="Greta Gerwig"/>
    <s v="Scarlett Johansson, Tom Hanks"/>
    <x v="5"/>
    <x v="7"/>
    <x v="5"/>
    <x v="1"/>
    <x v="6"/>
    <x v="1"/>
    <x v="2"/>
    <n v="5.2"/>
    <n v="69.790000000000006"/>
    <n v="27530000"/>
    <x v="1"/>
  </r>
  <r>
    <s v="S9"/>
    <x v="1"/>
    <s v="Synthetic Title 9"/>
    <s v="Bong Joon Ho"/>
    <s v="Scarlett Johansson"/>
    <x v="4"/>
    <x v="8"/>
    <x v="7"/>
    <x v="3"/>
    <x v="5"/>
    <x v="1"/>
    <x v="1"/>
    <n v="7.8"/>
    <n v="128.91"/>
    <n v="28367000"/>
    <x v="0"/>
  </r>
  <r>
    <s v="S10"/>
    <x v="0"/>
    <s v="Synthetic Title 10"/>
    <s v="Martin Scorsese"/>
    <s v="Tom Hanks, Brad Pitt, Viola Davis"/>
    <x v="1"/>
    <x v="9"/>
    <x v="8"/>
    <x v="1"/>
    <x v="0"/>
    <x v="0"/>
    <x v="1"/>
    <n v="8.4"/>
    <n v="40.659999999999997"/>
    <n v="43556000"/>
    <x v="1"/>
  </r>
  <r>
    <s v="S11"/>
    <x v="0"/>
    <s v="Synthetic Title 11"/>
    <s v="Greta Gerwig"/>
    <s v="Scarlett Johansson"/>
    <x v="5"/>
    <x v="10"/>
    <x v="9"/>
    <x v="3"/>
    <x v="7"/>
    <x v="0"/>
    <x v="5"/>
    <n v="3.4"/>
    <n v="129.69999999999999"/>
    <n v="24662000"/>
    <x v="1"/>
  </r>
  <r>
    <s v="S12"/>
    <x v="1"/>
    <s v="Synthetic Title 12"/>
    <s v="Unassigned"/>
    <s v="Scarlett Johansson"/>
    <x v="5"/>
    <x v="11"/>
    <x v="3"/>
    <x v="1"/>
    <x v="8"/>
    <x v="1"/>
    <x v="2"/>
    <n v="2.7"/>
    <n v="84.86"/>
    <n v="92524000"/>
    <x v="1"/>
  </r>
  <r>
    <s v="S13"/>
    <x v="1"/>
    <s v="Synthetic Title 13"/>
    <s v="Unassigned"/>
    <s v="Leonardo Dicaprio"/>
    <x v="6"/>
    <x v="12"/>
    <x v="10"/>
    <x v="4"/>
    <x v="3"/>
    <x v="1"/>
    <x v="1"/>
    <n v="7.9"/>
    <n v="6.83"/>
    <n v="93700000"/>
    <x v="0"/>
  </r>
  <r>
    <s v="S14"/>
    <x v="0"/>
    <s v="Synthetic Title 14"/>
    <s v="Steven Spielberg"/>
    <s v="Zendaya, Morgan Freeman"/>
    <x v="3"/>
    <x v="13"/>
    <x v="11"/>
    <x v="3"/>
    <x v="9"/>
    <x v="0"/>
    <x v="0"/>
    <n v="1.1000000000000001"/>
    <n v="92.46"/>
    <n v="5279000"/>
    <x v="1"/>
  </r>
  <r>
    <s v="S15"/>
    <x v="0"/>
    <s v="Synthetic Title 15"/>
    <s v="Bong Joon Ho"/>
    <s v="Morgan Freeman, Scarlett Johansson"/>
    <x v="6"/>
    <x v="14"/>
    <x v="11"/>
    <x v="2"/>
    <x v="10"/>
    <x v="0"/>
    <x v="2"/>
    <n v="9.3000000000000007"/>
    <n v="69.94"/>
    <n v="85953000"/>
    <x v="0"/>
  </r>
  <r>
    <s v="S16"/>
    <x v="1"/>
    <s v="Synthetic Title 16"/>
    <s v="Christopher Nolan"/>
    <s v="Leonardo Dicaprio"/>
    <x v="1"/>
    <x v="15"/>
    <x v="12"/>
    <x v="2"/>
    <x v="8"/>
    <x v="1"/>
    <x v="2"/>
    <n v="5.5"/>
    <n v="17.04"/>
    <n v="23317000"/>
    <x v="1"/>
  </r>
  <r>
    <s v="S17"/>
    <x v="1"/>
    <s v="Synthetic Title 17"/>
    <s v="Steven Spielberg"/>
    <s v="Zendaya, Morgan Freeman, Scarlett Johansson"/>
    <x v="5"/>
    <x v="16"/>
    <x v="13"/>
    <x v="5"/>
    <x v="11"/>
    <x v="1"/>
    <x v="1"/>
    <n v="3.5"/>
    <n v="106.71"/>
    <n v="73412000"/>
    <x v="0"/>
  </r>
  <r>
    <s v="S18"/>
    <x v="1"/>
    <s v="Synthetic Title 18"/>
    <s v="Steven Spielberg"/>
    <s v="Tom Hanks, Brad Pitt"/>
    <x v="2"/>
    <x v="17"/>
    <x v="14"/>
    <x v="0"/>
    <x v="12"/>
    <x v="1"/>
    <x v="4"/>
    <n v="9"/>
    <n v="105.52"/>
    <n v="9191000"/>
    <x v="0"/>
  </r>
  <r>
    <s v="S19"/>
    <x v="0"/>
    <s v="Synthetic Title 19"/>
    <s v="Ava Duvernay"/>
    <s v="Zendaya, Tom Hanks, Viola Davis"/>
    <x v="1"/>
    <x v="18"/>
    <x v="15"/>
    <x v="4"/>
    <x v="13"/>
    <x v="0"/>
    <x v="1"/>
    <n v="5.8"/>
    <n v="81.88"/>
    <n v="55885000"/>
    <x v="0"/>
  </r>
  <r>
    <s v="S20"/>
    <x v="1"/>
    <s v="Synthetic Title 20"/>
    <s v="Unassigned"/>
    <s v="Morgan Freeman, Scarlett Johansson, Leonardo Dicaprio"/>
    <x v="3"/>
    <x v="19"/>
    <x v="9"/>
    <x v="3"/>
    <x v="14"/>
    <x v="1"/>
    <x v="4"/>
    <n v="4.4000000000000004"/>
    <n v="67.83"/>
    <n v="63670000"/>
    <x v="1"/>
  </r>
  <r>
    <s v="S21"/>
    <x v="0"/>
    <s v="Synthetic Title 21"/>
    <s v="Greta Gerwig"/>
    <s v="Viola Davis, Leonardo Dicaprio, Scarlett Johansson"/>
    <x v="3"/>
    <x v="20"/>
    <x v="16"/>
    <x v="5"/>
    <x v="15"/>
    <x v="0"/>
    <x v="5"/>
    <n v="2.5"/>
    <n v="15.48"/>
    <n v="67851000"/>
    <x v="0"/>
  </r>
  <r>
    <s v="S22"/>
    <x v="0"/>
    <s v="Synthetic Title 22"/>
    <s v="Bong Joon Ho"/>
    <s v="Viola Davis"/>
    <x v="0"/>
    <x v="21"/>
    <x v="17"/>
    <x v="0"/>
    <x v="9"/>
    <x v="0"/>
    <x v="2"/>
    <n v="7.7"/>
    <n v="62.6"/>
    <n v="53296000"/>
    <x v="0"/>
  </r>
  <r>
    <s v="S23"/>
    <x v="1"/>
    <s v="Synthetic Title 23"/>
    <s v="Martin Scorsese"/>
    <s v="Tom Hanks, Scarlett Johansson, Zendaya"/>
    <x v="4"/>
    <x v="22"/>
    <x v="18"/>
    <x v="0"/>
    <x v="16"/>
    <x v="1"/>
    <x v="2"/>
    <n v="3.4"/>
    <n v="107.1"/>
    <n v="26104000"/>
    <x v="1"/>
  </r>
  <r>
    <s v="S24"/>
    <x v="1"/>
    <s v="Synthetic Title 24"/>
    <s v="Ava Duvernay"/>
    <s v="Viola Davis"/>
    <x v="2"/>
    <x v="23"/>
    <x v="17"/>
    <x v="1"/>
    <x v="17"/>
    <x v="1"/>
    <x v="4"/>
    <n v="9.3000000000000007"/>
    <n v="98.41"/>
    <n v="32574000"/>
    <x v="0"/>
  </r>
  <r>
    <s v="S25"/>
    <x v="0"/>
    <s v="Synthetic Title 25"/>
    <s v="Unassigned"/>
    <s v="Morgan Freeman"/>
    <x v="0"/>
    <x v="24"/>
    <x v="19"/>
    <x v="1"/>
    <x v="7"/>
    <x v="0"/>
    <x v="2"/>
    <n v="9.3000000000000007"/>
    <n v="103.83"/>
    <n v="46509000"/>
    <x v="0"/>
  </r>
  <r>
    <s v="S26"/>
    <x v="1"/>
    <s v="Synthetic Title 26"/>
    <s v="Ava Duvernay"/>
    <s v="Leonardo Dicaprio, Brad Pitt"/>
    <x v="6"/>
    <x v="25"/>
    <x v="9"/>
    <x v="3"/>
    <x v="17"/>
    <x v="1"/>
    <x v="4"/>
    <n v="4.9000000000000004"/>
    <n v="74.92"/>
    <n v="54497000"/>
    <x v="1"/>
  </r>
  <r>
    <s v="S27"/>
    <x v="0"/>
    <s v="Synthetic Title 27"/>
    <s v="Greta Gerwig"/>
    <s v="Tom Hanks, Viola Davis"/>
    <x v="5"/>
    <x v="26"/>
    <x v="20"/>
    <x v="5"/>
    <x v="13"/>
    <x v="0"/>
    <x v="0"/>
    <n v="7.1"/>
    <n v="88.9"/>
    <n v="39382000"/>
    <x v="1"/>
  </r>
  <r>
    <s v="S28"/>
    <x v="1"/>
    <s v="Synthetic Title 28"/>
    <s v="Bong Joon Ho"/>
    <s v="Viola Davis, Brad Pitt"/>
    <x v="2"/>
    <x v="20"/>
    <x v="16"/>
    <x v="2"/>
    <x v="18"/>
    <x v="1"/>
    <x v="2"/>
    <n v="1.8"/>
    <n v="146.03"/>
    <n v="37605000"/>
    <x v="1"/>
  </r>
  <r>
    <s v="S29"/>
    <x v="1"/>
    <s v="Synthetic Title 29"/>
    <s v="Steven Spielberg"/>
    <s v="Zendaya"/>
    <x v="3"/>
    <x v="27"/>
    <x v="21"/>
    <x v="5"/>
    <x v="19"/>
    <x v="1"/>
    <x v="3"/>
    <n v="2.4"/>
    <n v="3.83"/>
    <n v="60367000"/>
    <x v="0"/>
  </r>
  <r>
    <s v="S30"/>
    <x v="1"/>
    <s v="Synthetic Title 30"/>
    <s v="Christopher Nolan"/>
    <s v="Zendaya"/>
    <x v="5"/>
    <x v="28"/>
    <x v="13"/>
    <x v="5"/>
    <x v="20"/>
    <x v="1"/>
    <x v="5"/>
    <n v="4.7"/>
    <n v="118.66"/>
    <n v="64745000"/>
    <x v="1"/>
  </r>
  <r>
    <s v="S31"/>
    <x v="0"/>
    <s v="Synthetic Title 31"/>
    <s v="Bong Joon Ho"/>
    <s v="Zendaya"/>
    <x v="2"/>
    <x v="29"/>
    <x v="12"/>
    <x v="0"/>
    <x v="2"/>
    <x v="0"/>
    <x v="2"/>
    <n v="6.5"/>
    <n v="17.2"/>
    <n v="27107000"/>
    <x v="1"/>
  </r>
  <r>
    <s v="S32"/>
    <x v="1"/>
    <s v="Synthetic Title 32"/>
    <s v="Christopher Nolan"/>
    <s v="Brad Pitt, Zendaya, Scarlett Johansson"/>
    <x v="2"/>
    <x v="30"/>
    <x v="20"/>
    <x v="2"/>
    <x v="11"/>
    <x v="1"/>
    <x v="2"/>
    <n v="6.5"/>
    <n v="58.83"/>
    <n v="48591000"/>
    <x v="1"/>
  </r>
  <r>
    <s v="S33"/>
    <x v="0"/>
    <s v="Synthetic Title 33"/>
    <s v="Bong Joon Ho"/>
    <s v="Brad Pitt, Zendaya"/>
    <x v="2"/>
    <x v="31"/>
    <x v="18"/>
    <x v="2"/>
    <x v="10"/>
    <x v="0"/>
    <x v="0"/>
    <n v="2.8"/>
    <n v="32.770000000000003"/>
    <n v="29751000"/>
    <x v="0"/>
  </r>
  <r>
    <s v="S34"/>
    <x v="1"/>
    <s v="Synthetic Title 34"/>
    <s v="Bong Joon Ho"/>
    <s v="Tom Hanks"/>
    <x v="4"/>
    <x v="32"/>
    <x v="22"/>
    <x v="2"/>
    <x v="21"/>
    <x v="1"/>
    <x v="3"/>
    <n v="3.3"/>
    <n v="114.88"/>
    <n v="2798000"/>
    <x v="1"/>
  </r>
  <r>
    <s v="S35"/>
    <x v="1"/>
    <s v="Synthetic Title 35"/>
    <s v="Greta Gerwig"/>
    <s v="Viola Davis, Zendaya"/>
    <x v="0"/>
    <x v="33"/>
    <x v="17"/>
    <x v="5"/>
    <x v="22"/>
    <x v="1"/>
    <x v="4"/>
    <n v="4.0999999999999996"/>
    <n v="35.11"/>
    <n v="4613000"/>
    <x v="1"/>
  </r>
  <r>
    <s v="S36"/>
    <x v="1"/>
    <s v="Synthetic Title 36"/>
    <s v="Christopher Nolan"/>
    <s v="Leonardo Dicaprio, Viola Davis"/>
    <x v="2"/>
    <x v="34"/>
    <x v="19"/>
    <x v="0"/>
    <x v="23"/>
    <x v="1"/>
    <x v="0"/>
    <n v="1.3"/>
    <n v="141.31"/>
    <n v="6510000"/>
    <x v="1"/>
  </r>
  <r>
    <s v="S37"/>
    <x v="0"/>
    <s v="Synthetic Title 37"/>
    <s v="Greta Gerwig"/>
    <s v="Zendaya, Scarlett Johansson"/>
    <x v="5"/>
    <x v="35"/>
    <x v="0"/>
    <x v="2"/>
    <x v="15"/>
    <x v="0"/>
    <x v="5"/>
    <n v="7.3"/>
    <n v="131.26"/>
    <n v="30780000"/>
    <x v="0"/>
  </r>
  <r>
    <s v="S38"/>
    <x v="1"/>
    <s v="Synthetic Title 38"/>
    <s v="Unassigned"/>
    <s v="Viola Davis, Scarlett Johansson, Zendaya"/>
    <x v="0"/>
    <x v="36"/>
    <x v="8"/>
    <x v="3"/>
    <x v="24"/>
    <x v="1"/>
    <x v="1"/>
    <n v="4.5999999999999996"/>
    <n v="111.02"/>
    <n v="41643000"/>
    <x v="0"/>
  </r>
  <r>
    <s v="S39"/>
    <x v="1"/>
    <s v="Synthetic Title 39"/>
    <s v="Unassigned"/>
    <s v="Scarlett Johansson, Leonardo Dicaprio, Brad Pitt"/>
    <x v="1"/>
    <x v="14"/>
    <x v="13"/>
    <x v="5"/>
    <x v="25"/>
    <x v="1"/>
    <x v="5"/>
    <n v="4.5"/>
    <n v="113.22"/>
    <n v="3263000"/>
    <x v="1"/>
  </r>
  <r>
    <s v="S40"/>
    <x v="0"/>
    <s v="Synthetic Title 40"/>
    <s v="Steven Spielberg"/>
    <s v="Brad Pitt, Viola Davis"/>
    <x v="5"/>
    <x v="37"/>
    <x v="23"/>
    <x v="4"/>
    <x v="26"/>
    <x v="0"/>
    <x v="5"/>
    <n v="7"/>
    <n v="99.48"/>
    <n v="43188000"/>
    <x v="1"/>
  </r>
  <r>
    <s v="S41"/>
    <x v="1"/>
    <s v="Synthetic Title 41"/>
    <s v="Ava Duvernay"/>
    <s v="Unassigned"/>
    <x v="6"/>
    <x v="38"/>
    <x v="24"/>
    <x v="3"/>
    <x v="27"/>
    <x v="1"/>
    <x v="0"/>
    <n v="1.7"/>
    <n v="11.06"/>
    <n v="80764000"/>
    <x v="1"/>
  </r>
  <r>
    <s v="S42"/>
    <x v="1"/>
    <s v="Synthetic Title 42"/>
    <s v="Unassigned"/>
    <s v="Leonardo Dicaprio"/>
    <x v="7"/>
    <x v="39"/>
    <x v="12"/>
    <x v="0"/>
    <x v="28"/>
    <x v="1"/>
    <x v="0"/>
    <n v="1.3"/>
    <n v="90.94"/>
    <n v="59399000"/>
    <x v="0"/>
  </r>
  <r>
    <s v="S43"/>
    <x v="0"/>
    <s v="Synthetic Title 43"/>
    <s v="Christopher Nolan"/>
    <s v="Leonardo Dicaprio"/>
    <x v="2"/>
    <x v="40"/>
    <x v="25"/>
    <x v="2"/>
    <x v="29"/>
    <x v="0"/>
    <x v="1"/>
    <n v="1"/>
    <n v="140.66"/>
    <n v="67445000"/>
    <x v="0"/>
  </r>
  <r>
    <s v="S44"/>
    <x v="0"/>
    <s v="Synthetic Title 44"/>
    <s v="Steven Spielberg"/>
    <s v="Leonardo Dicaprio, Brad Pitt, Viola Davis"/>
    <x v="7"/>
    <x v="41"/>
    <x v="0"/>
    <x v="0"/>
    <x v="4"/>
    <x v="0"/>
    <x v="5"/>
    <n v="8.4"/>
    <n v="40.74"/>
    <n v="14645000"/>
    <x v="1"/>
  </r>
  <r>
    <s v="S45"/>
    <x v="0"/>
    <s v="Synthetic Title 45"/>
    <s v="Steven Spielberg"/>
    <s v="Tom Hanks, Leonardo Dicaprio, Morgan Freeman"/>
    <x v="2"/>
    <x v="42"/>
    <x v="7"/>
    <x v="1"/>
    <x v="2"/>
    <x v="0"/>
    <x v="0"/>
    <n v="6.3"/>
    <n v="43.5"/>
    <n v="20174000"/>
    <x v="0"/>
  </r>
  <r>
    <s v="S46"/>
    <x v="0"/>
    <s v="Synthetic Title 46"/>
    <s v="Martin Scorsese"/>
    <s v="Morgan Freeman, Brad Pitt"/>
    <x v="0"/>
    <x v="43"/>
    <x v="17"/>
    <x v="4"/>
    <x v="26"/>
    <x v="0"/>
    <x v="0"/>
    <n v="1.8"/>
    <n v="79.59"/>
    <n v="49101000"/>
    <x v="1"/>
  </r>
  <r>
    <s v="S47"/>
    <x v="0"/>
    <s v="Synthetic Title 47"/>
    <s v="Christopher Nolan"/>
    <s v="Zendaya, Morgan Freeman, Leonardo Dicaprio"/>
    <x v="0"/>
    <x v="44"/>
    <x v="26"/>
    <x v="5"/>
    <x v="0"/>
    <x v="0"/>
    <x v="2"/>
    <n v="4.4000000000000004"/>
    <n v="128.76"/>
    <n v="60291000"/>
    <x v="0"/>
  </r>
  <r>
    <s v="S48"/>
    <x v="1"/>
    <s v="Synthetic Title 48"/>
    <s v="Martin Scorsese"/>
    <s v="Scarlett Johansson, Viola Davis"/>
    <x v="3"/>
    <x v="45"/>
    <x v="9"/>
    <x v="4"/>
    <x v="17"/>
    <x v="1"/>
    <x v="5"/>
    <n v="9"/>
    <n v="130.88999999999999"/>
    <n v="62461000"/>
    <x v="0"/>
  </r>
  <r>
    <s v="S49"/>
    <x v="1"/>
    <s v="Synthetic Title 49"/>
    <s v="Martin Scorsese"/>
    <s v="Viola Davis"/>
    <x v="1"/>
    <x v="46"/>
    <x v="25"/>
    <x v="0"/>
    <x v="30"/>
    <x v="1"/>
    <x v="2"/>
    <n v="6.9"/>
    <n v="29.01"/>
    <n v="98542000"/>
    <x v="0"/>
  </r>
  <r>
    <s v="S50"/>
    <x v="0"/>
    <s v="Synthetic Title 50"/>
    <s v="Martin Scorsese"/>
    <s v="Brad Pitt, Viola Davis, Leonardo Dicaprio"/>
    <x v="6"/>
    <x v="47"/>
    <x v="14"/>
    <x v="4"/>
    <x v="15"/>
    <x v="0"/>
    <x v="2"/>
    <n v="5.3"/>
    <n v="15.62"/>
    <n v="80522000"/>
    <x v="1"/>
  </r>
  <r>
    <s v="S51"/>
    <x v="0"/>
    <s v="Synthetic Title 51"/>
    <s v="Unassigned"/>
    <s v="Morgan Freeman, Brad Pitt"/>
    <x v="6"/>
    <x v="48"/>
    <x v="27"/>
    <x v="3"/>
    <x v="15"/>
    <x v="0"/>
    <x v="2"/>
    <n v="5.4"/>
    <n v="148.4"/>
    <n v="64104000"/>
    <x v="0"/>
  </r>
  <r>
    <s v="S52"/>
    <x v="1"/>
    <s v="Synthetic Title 52"/>
    <s v="Unassigned"/>
    <s v="Unassigned"/>
    <x v="7"/>
    <x v="49"/>
    <x v="12"/>
    <x v="5"/>
    <x v="16"/>
    <x v="1"/>
    <x v="5"/>
    <n v="8.5"/>
    <n v="45.25"/>
    <n v="91837000"/>
    <x v="0"/>
  </r>
  <r>
    <s v="S53"/>
    <x v="1"/>
    <s v="Synthetic Title 53"/>
    <s v="Steven Spielberg"/>
    <s v="Zendaya, Brad Pitt"/>
    <x v="4"/>
    <x v="50"/>
    <x v="28"/>
    <x v="3"/>
    <x v="31"/>
    <x v="1"/>
    <x v="1"/>
    <n v="6"/>
    <n v="79.78"/>
    <n v="71130000"/>
    <x v="1"/>
  </r>
  <r>
    <s v="S54"/>
    <x v="1"/>
    <s v="Synthetic Title 54"/>
    <s v="Martin Scorsese"/>
    <s v="Zendaya"/>
    <x v="5"/>
    <x v="51"/>
    <x v="6"/>
    <x v="2"/>
    <x v="32"/>
    <x v="1"/>
    <x v="3"/>
    <n v="6.2"/>
    <n v="54.9"/>
    <n v="39441000"/>
    <x v="0"/>
  </r>
  <r>
    <s v="S55"/>
    <x v="1"/>
    <s v="Synthetic Title 55"/>
    <s v="Martin Scorsese"/>
    <s v="Morgan Freeman, Scarlett Johansson, Viola Davis"/>
    <x v="1"/>
    <x v="52"/>
    <x v="2"/>
    <x v="5"/>
    <x v="33"/>
    <x v="1"/>
    <x v="4"/>
    <n v="8.6"/>
    <n v="69.319999999999993"/>
    <n v="10295000"/>
    <x v="0"/>
  </r>
  <r>
    <s v="S56"/>
    <x v="1"/>
    <s v="Synthetic Title 56"/>
    <s v="Martin Scorsese"/>
    <s v="Morgan Freeman, Tom Hanks"/>
    <x v="5"/>
    <x v="53"/>
    <x v="12"/>
    <x v="5"/>
    <x v="34"/>
    <x v="1"/>
    <x v="2"/>
    <n v="4.9000000000000004"/>
    <n v="143.85"/>
    <n v="9394000"/>
    <x v="0"/>
  </r>
  <r>
    <s v="S57"/>
    <x v="1"/>
    <s v="Synthetic Title 57"/>
    <s v="Unassigned"/>
    <s v="Leonardo Dicaprio, Brad Pitt, Morgan Freeman"/>
    <x v="6"/>
    <x v="54"/>
    <x v="3"/>
    <x v="1"/>
    <x v="35"/>
    <x v="1"/>
    <x v="5"/>
    <n v="6.1"/>
    <n v="109.75"/>
    <n v="75999000"/>
    <x v="1"/>
  </r>
  <r>
    <s v="S58"/>
    <x v="0"/>
    <s v="Synthetic Title 58"/>
    <s v="Steven Spielberg"/>
    <s v="Scarlett Johansson, Zendaya"/>
    <x v="6"/>
    <x v="55"/>
    <x v="29"/>
    <x v="1"/>
    <x v="29"/>
    <x v="0"/>
    <x v="4"/>
    <n v="2.7"/>
    <n v="13.8"/>
    <n v="63972000"/>
    <x v="0"/>
  </r>
  <r>
    <s v="S59"/>
    <x v="1"/>
    <s v="Synthetic Title 59"/>
    <s v="Bong Joon Ho"/>
    <s v="Leonardo Dicaprio, Zendaya"/>
    <x v="6"/>
    <x v="56"/>
    <x v="30"/>
    <x v="1"/>
    <x v="19"/>
    <x v="1"/>
    <x v="4"/>
    <n v="2.1"/>
    <n v="47.47"/>
    <n v="77317000"/>
    <x v="1"/>
  </r>
  <r>
    <s v="S60"/>
    <x v="0"/>
    <s v="Synthetic Title 60"/>
    <s v="Unassigned"/>
    <s v="Zendaya, Morgan Freeman, Viola Davis"/>
    <x v="6"/>
    <x v="57"/>
    <x v="4"/>
    <x v="4"/>
    <x v="2"/>
    <x v="0"/>
    <x v="3"/>
    <n v="7.3"/>
    <n v="47.64"/>
    <n v="56287000"/>
    <x v="0"/>
  </r>
  <r>
    <s v="S61"/>
    <x v="1"/>
    <s v="Synthetic Title 61"/>
    <s v="Bong Joon Ho"/>
    <s v="Viola Davis, Brad Pitt"/>
    <x v="5"/>
    <x v="58"/>
    <x v="30"/>
    <x v="5"/>
    <x v="27"/>
    <x v="1"/>
    <x v="1"/>
    <n v="2.8"/>
    <n v="49.89"/>
    <n v="58693000"/>
    <x v="0"/>
  </r>
  <r>
    <s v="S62"/>
    <x v="0"/>
    <s v="Synthetic Title 62"/>
    <s v="Greta Gerwig"/>
    <s v="Tom Hanks, Viola Davis"/>
    <x v="3"/>
    <x v="59"/>
    <x v="17"/>
    <x v="3"/>
    <x v="7"/>
    <x v="0"/>
    <x v="0"/>
    <n v="5.9"/>
    <n v="54.68"/>
    <n v="86958000"/>
    <x v="1"/>
  </r>
  <r>
    <s v="S63"/>
    <x v="1"/>
    <s v="Synthetic Title 63"/>
    <s v="Greta Gerwig"/>
    <s v="Brad Pitt"/>
    <x v="6"/>
    <x v="60"/>
    <x v="4"/>
    <x v="4"/>
    <x v="36"/>
    <x v="1"/>
    <x v="4"/>
    <n v="9.9"/>
    <n v="59.96"/>
    <n v="96177000"/>
    <x v="1"/>
  </r>
  <r>
    <s v="S64"/>
    <x v="1"/>
    <s v="Synthetic Title 64"/>
    <s v="Christopher Nolan"/>
    <s v="Tom Hanks, Leonardo Dicaprio"/>
    <x v="7"/>
    <x v="61"/>
    <x v="31"/>
    <x v="4"/>
    <x v="37"/>
    <x v="1"/>
    <x v="2"/>
    <n v="6.1"/>
    <n v="106.54"/>
    <n v="22389000"/>
    <x v="1"/>
  </r>
  <r>
    <s v="S65"/>
    <x v="0"/>
    <s v="Synthetic Title 65"/>
    <s v="Unassigned"/>
    <s v="Tom Hanks, Zendaya, Scarlett Johansson"/>
    <x v="2"/>
    <x v="62"/>
    <x v="22"/>
    <x v="2"/>
    <x v="13"/>
    <x v="0"/>
    <x v="3"/>
    <n v="3.2"/>
    <n v="49.21"/>
    <n v="78172000"/>
    <x v="0"/>
  </r>
  <r>
    <s v="S66"/>
    <x v="1"/>
    <s v="Synthetic Title 66"/>
    <s v="Steven Spielberg"/>
    <s v="Brad Pitt, Leonardo Dicaprio"/>
    <x v="3"/>
    <x v="63"/>
    <x v="8"/>
    <x v="0"/>
    <x v="38"/>
    <x v="1"/>
    <x v="2"/>
    <n v="9.1"/>
    <n v="68.38"/>
    <n v="56491000"/>
    <x v="1"/>
  </r>
  <r>
    <s v="S67"/>
    <x v="1"/>
    <s v="Synthetic Title 67"/>
    <s v="Ava Duvernay"/>
    <s v="Scarlett Johansson"/>
    <x v="1"/>
    <x v="64"/>
    <x v="2"/>
    <x v="1"/>
    <x v="39"/>
    <x v="1"/>
    <x v="0"/>
    <n v="6.3"/>
    <n v="34.06"/>
    <n v="87333000"/>
    <x v="1"/>
  </r>
  <r>
    <s v="S68"/>
    <x v="0"/>
    <s v="Synthetic Title 68"/>
    <s v="Ava Duvernay"/>
    <s v="Morgan Freeman, Tom Hanks, Brad Pitt"/>
    <x v="1"/>
    <x v="65"/>
    <x v="13"/>
    <x v="5"/>
    <x v="0"/>
    <x v="0"/>
    <x v="1"/>
    <n v="6.2"/>
    <n v="117.02"/>
    <n v="96956000"/>
    <x v="1"/>
  </r>
  <r>
    <s v="S69"/>
    <x v="0"/>
    <s v="Synthetic Title 69"/>
    <s v="Martin Scorsese"/>
    <s v="Viola Davis, Zendaya"/>
    <x v="6"/>
    <x v="66"/>
    <x v="12"/>
    <x v="2"/>
    <x v="29"/>
    <x v="0"/>
    <x v="2"/>
    <n v="9.6"/>
    <n v="76.28"/>
    <n v="88196000"/>
    <x v="0"/>
  </r>
  <r>
    <s v="S70"/>
    <x v="1"/>
    <s v="Synthetic Title 70"/>
    <s v="Martin Scorsese"/>
    <s v="Viola Davis, Zendaya, Brad Pitt"/>
    <x v="0"/>
    <x v="67"/>
    <x v="30"/>
    <x v="4"/>
    <x v="40"/>
    <x v="1"/>
    <x v="2"/>
    <n v="9.5"/>
    <n v="100.35"/>
    <n v="5463000"/>
    <x v="0"/>
  </r>
  <r>
    <s v="S71"/>
    <x v="0"/>
    <s v="Synthetic Title 71"/>
    <s v="Steven Spielberg"/>
    <s v="Zendaya, Leonardo Dicaprio, Brad Pitt"/>
    <x v="2"/>
    <x v="68"/>
    <x v="32"/>
    <x v="0"/>
    <x v="2"/>
    <x v="0"/>
    <x v="5"/>
    <n v="2.6"/>
    <n v="50.18"/>
    <n v="32611000"/>
    <x v="1"/>
  </r>
  <r>
    <s v="S72"/>
    <x v="1"/>
    <s v="Synthetic Title 72"/>
    <s v="Greta Gerwig"/>
    <s v="Leonardo Dicaprio"/>
    <x v="2"/>
    <x v="69"/>
    <x v="21"/>
    <x v="2"/>
    <x v="41"/>
    <x v="1"/>
    <x v="0"/>
    <n v="6.7"/>
    <n v="126.89"/>
    <n v="24356000"/>
    <x v="1"/>
  </r>
  <r>
    <s v="S73"/>
    <x v="1"/>
    <s v="Synthetic Title 73"/>
    <s v="Christopher Nolan"/>
    <s v="Scarlett Johansson, Brad Pitt, Morgan Freeman"/>
    <x v="4"/>
    <x v="70"/>
    <x v="13"/>
    <x v="4"/>
    <x v="42"/>
    <x v="1"/>
    <x v="0"/>
    <n v="8.6"/>
    <n v="103.9"/>
    <n v="39226000"/>
    <x v="1"/>
  </r>
  <r>
    <s v="S74"/>
    <x v="0"/>
    <s v="Synthetic Title 74"/>
    <s v="Greta Gerwig"/>
    <s v="Unassigned"/>
    <x v="1"/>
    <x v="71"/>
    <x v="27"/>
    <x v="0"/>
    <x v="9"/>
    <x v="0"/>
    <x v="5"/>
    <n v="3.4"/>
    <n v="80.239999999999995"/>
    <n v="73570000"/>
    <x v="1"/>
  </r>
  <r>
    <s v="S75"/>
    <x v="0"/>
    <s v="Synthetic Title 75"/>
    <s v="Martin Scorsese"/>
    <s v="Scarlett Johansson, Tom Hanks"/>
    <x v="6"/>
    <x v="72"/>
    <x v="18"/>
    <x v="1"/>
    <x v="7"/>
    <x v="0"/>
    <x v="3"/>
    <n v="3.7"/>
    <n v="143.83000000000001"/>
    <n v="79836000"/>
    <x v="0"/>
  </r>
  <r>
    <s v="S76"/>
    <x v="1"/>
    <s v="Synthetic Title 76"/>
    <s v="Greta Gerwig"/>
    <s v="Zendaya, Leonardo Dicaprio, Brad Pitt"/>
    <x v="3"/>
    <x v="73"/>
    <x v="15"/>
    <x v="1"/>
    <x v="43"/>
    <x v="1"/>
    <x v="4"/>
    <n v="8.8000000000000007"/>
    <n v="125.8"/>
    <n v="86160000"/>
    <x v="0"/>
  </r>
  <r>
    <s v="S77"/>
    <x v="1"/>
    <s v="Synthetic Title 77"/>
    <s v="Ava Duvernay"/>
    <s v="Zendaya, Leonardo Dicaprio, Viola Davis"/>
    <x v="4"/>
    <x v="74"/>
    <x v="4"/>
    <x v="3"/>
    <x v="44"/>
    <x v="1"/>
    <x v="4"/>
    <n v="3.9"/>
    <n v="13.03"/>
    <n v="7898000"/>
    <x v="1"/>
  </r>
  <r>
    <s v="S78"/>
    <x v="1"/>
    <s v="Synthetic Title 78"/>
    <s v="Martin Scorsese"/>
    <s v="Leonardo Dicaprio, Viola Davis, Morgan Freeman"/>
    <x v="1"/>
    <x v="75"/>
    <x v="30"/>
    <x v="3"/>
    <x v="45"/>
    <x v="1"/>
    <x v="5"/>
    <n v="1.2"/>
    <n v="115.43"/>
    <n v="4781000"/>
    <x v="1"/>
  </r>
  <r>
    <s v="S79"/>
    <x v="1"/>
    <s v="Synthetic Title 79"/>
    <s v="Steven Spielberg"/>
    <s v="Scarlett Johansson, Viola Davis, Leonardo Dicaprio"/>
    <x v="7"/>
    <x v="76"/>
    <x v="30"/>
    <x v="0"/>
    <x v="46"/>
    <x v="1"/>
    <x v="2"/>
    <n v="1.1000000000000001"/>
    <n v="14.07"/>
    <n v="20372000"/>
    <x v="0"/>
  </r>
  <r>
    <s v="S80"/>
    <x v="1"/>
    <s v="Synthetic Title 80"/>
    <s v="Ava Duvernay"/>
    <s v="Morgan Freeman, Leonardo Dicaprio, Zendaya"/>
    <x v="0"/>
    <x v="77"/>
    <x v="19"/>
    <x v="5"/>
    <x v="31"/>
    <x v="1"/>
    <x v="2"/>
    <n v="9.8000000000000007"/>
    <n v="82.36"/>
    <n v="73393000"/>
    <x v="0"/>
  </r>
  <r>
    <s v="S81"/>
    <x v="0"/>
    <s v="Synthetic Title 81"/>
    <s v="Christopher Nolan"/>
    <s v="Leonardo Dicaprio, Viola Davis, Tom Hanks"/>
    <x v="6"/>
    <x v="78"/>
    <x v="9"/>
    <x v="2"/>
    <x v="0"/>
    <x v="0"/>
    <x v="2"/>
    <n v="1.1000000000000001"/>
    <n v="94.22"/>
    <n v="92119000"/>
    <x v="0"/>
  </r>
  <r>
    <s v="S82"/>
    <x v="0"/>
    <s v="Synthetic Title 82"/>
    <s v="Unassigned"/>
    <s v="Viola Davis, Zendaya, Tom Hanks"/>
    <x v="7"/>
    <x v="79"/>
    <x v="6"/>
    <x v="5"/>
    <x v="15"/>
    <x v="0"/>
    <x v="4"/>
    <n v="1.6"/>
    <n v="83.73"/>
    <n v="52641000"/>
    <x v="0"/>
  </r>
  <r>
    <s v="S83"/>
    <x v="1"/>
    <s v="Synthetic Title 83"/>
    <s v="Martin Scorsese"/>
    <s v="Scarlett Johansson, Morgan Freeman"/>
    <x v="0"/>
    <x v="80"/>
    <x v="4"/>
    <x v="1"/>
    <x v="47"/>
    <x v="1"/>
    <x v="4"/>
    <n v="8.9"/>
    <n v="43.11"/>
    <n v="64570000"/>
    <x v="1"/>
  </r>
  <r>
    <s v="S84"/>
    <x v="1"/>
    <s v="Synthetic Title 84"/>
    <s v="Greta Gerwig"/>
    <s v="Scarlett Johansson, Leonardo Dicaprio"/>
    <x v="7"/>
    <x v="81"/>
    <x v="32"/>
    <x v="1"/>
    <x v="48"/>
    <x v="1"/>
    <x v="1"/>
    <n v="8.1"/>
    <n v="26.78"/>
    <n v="93405000"/>
    <x v="0"/>
  </r>
  <r>
    <s v="S85"/>
    <x v="0"/>
    <s v="Synthetic Title 85"/>
    <s v="Greta Gerwig"/>
    <s v="Scarlett Johansson"/>
    <x v="0"/>
    <x v="82"/>
    <x v="17"/>
    <x v="5"/>
    <x v="2"/>
    <x v="0"/>
    <x v="5"/>
    <n v="4"/>
    <n v="129.5"/>
    <n v="57668000"/>
    <x v="0"/>
  </r>
  <r>
    <s v="S86"/>
    <x v="1"/>
    <s v="Synthetic Title 86"/>
    <s v="Martin Scorsese"/>
    <s v="Zendaya"/>
    <x v="7"/>
    <x v="83"/>
    <x v="30"/>
    <x v="1"/>
    <x v="14"/>
    <x v="1"/>
    <x v="4"/>
    <n v="9"/>
    <n v="102.29"/>
    <n v="28486000"/>
    <x v="1"/>
  </r>
  <r>
    <s v="S87"/>
    <x v="1"/>
    <s v="Synthetic Title 87"/>
    <s v="Christopher Nolan"/>
    <s v="Morgan Freeman"/>
    <x v="5"/>
    <x v="84"/>
    <x v="12"/>
    <x v="4"/>
    <x v="49"/>
    <x v="1"/>
    <x v="4"/>
    <n v="7.1"/>
    <n v="85.39"/>
    <n v="32185000"/>
    <x v="0"/>
  </r>
  <r>
    <s v="S88"/>
    <x v="1"/>
    <s v="Synthetic Title 88"/>
    <s v="Unassigned"/>
    <s v="Brad Pitt, Morgan Freeman, Tom Hanks"/>
    <x v="1"/>
    <x v="85"/>
    <x v="6"/>
    <x v="5"/>
    <x v="23"/>
    <x v="1"/>
    <x v="3"/>
    <n v="8.9"/>
    <n v="109.68"/>
    <n v="59588000"/>
    <x v="0"/>
  </r>
  <r>
    <s v="S89"/>
    <x v="0"/>
    <s v="Synthetic Title 89"/>
    <s v="Steven Spielberg"/>
    <s v="Scarlett Johansson"/>
    <x v="4"/>
    <x v="86"/>
    <x v="1"/>
    <x v="4"/>
    <x v="29"/>
    <x v="0"/>
    <x v="3"/>
    <n v="3.2"/>
    <n v="51.86"/>
    <n v="71970000"/>
    <x v="0"/>
  </r>
  <r>
    <s v="S90"/>
    <x v="0"/>
    <s v="Synthetic Title 90"/>
    <s v="Christopher Nolan"/>
    <s v="Zendaya, Scarlett Johansson"/>
    <x v="1"/>
    <x v="87"/>
    <x v="14"/>
    <x v="4"/>
    <x v="26"/>
    <x v="0"/>
    <x v="4"/>
    <n v="3.4"/>
    <n v="9.0299999999999994"/>
    <n v="86236000"/>
    <x v="1"/>
  </r>
  <r>
    <s v="S91"/>
    <x v="0"/>
    <s v="Synthetic Title 91"/>
    <s v="Steven Spielberg"/>
    <s v="Brad Pitt"/>
    <x v="5"/>
    <x v="88"/>
    <x v="5"/>
    <x v="1"/>
    <x v="7"/>
    <x v="0"/>
    <x v="5"/>
    <n v="5.9"/>
    <n v="43.75"/>
    <n v="21108000"/>
    <x v="1"/>
  </r>
  <r>
    <s v="S92"/>
    <x v="1"/>
    <s v="Synthetic Title 92"/>
    <s v="Unassigned"/>
    <s v="Brad Pitt"/>
    <x v="7"/>
    <x v="89"/>
    <x v="3"/>
    <x v="2"/>
    <x v="50"/>
    <x v="1"/>
    <x v="0"/>
    <n v="9.8000000000000007"/>
    <n v="127.19"/>
    <n v="46876000"/>
    <x v="0"/>
  </r>
  <r>
    <s v="S93"/>
    <x v="0"/>
    <s v="Synthetic Title 93"/>
    <s v="Christopher Nolan"/>
    <s v="Viola Davis, Morgan Freeman"/>
    <x v="5"/>
    <x v="90"/>
    <x v="1"/>
    <x v="1"/>
    <x v="2"/>
    <x v="0"/>
    <x v="0"/>
    <n v="9.5"/>
    <n v="56.18"/>
    <n v="97273000"/>
    <x v="0"/>
  </r>
  <r>
    <s v="S94"/>
    <x v="1"/>
    <s v="Synthetic Title 94"/>
    <s v="Bong Joon Ho"/>
    <s v="Viola Davis, Zendaya"/>
    <x v="2"/>
    <x v="91"/>
    <x v="9"/>
    <x v="3"/>
    <x v="46"/>
    <x v="1"/>
    <x v="1"/>
    <n v="7.5"/>
    <n v="62.43"/>
    <n v="43365000"/>
    <x v="0"/>
  </r>
  <r>
    <s v="S95"/>
    <x v="0"/>
    <s v="Synthetic Title 95"/>
    <s v="Unassigned"/>
    <s v="Morgan Freeman, Tom Hanks, Leonardo Dicaprio"/>
    <x v="2"/>
    <x v="92"/>
    <x v="27"/>
    <x v="1"/>
    <x v="13"/>
    <x v="0"/>
    <x v="1"/>
    <n v="5.8"/>
    <n v="116.79"/>
    <n v="12742000"/>
    <x v="1"/>
  </r>
  <r>
    <s v="S96"/>
    <x v="0"/>
    <s v="Synthetic Title 96"/>
    <s v="Ava Duvernay"/>
    <s v="Leonardo Dicaprio, Scarlett Johansson, Brad Pitt"/>
    <x v="5"/>
    <x v="93"/>
    <x v="6"/>
    <x v="0"/>
    <x v="15"/>
    <x v="0"/>
    <x v="3"/>
    <n v="3.3"/>
    <n v="27.36"/>
    <n v="85986000"/>
    <x v="0"/>
  </r>
  <r>
    <s v="S97"/>
    <x v="1"/>
    <s v="Synthetic Title 97"/>
    <s v="Bong Joon Ho"/>
    <s v="Scarlett Johansson, Leonardo Dicaprio"/>
    <x v="3"/>
    <x v="94"/>
    <x v="26"/>
    <x v="4"/>
    <x v="51"/>
    <x v="1"/>
    <x v="2"/>
    <n v="8.8000000000000007"/>
    <n v="32.5"/>
    <n v="48749000"/>
    <x v="0"/>
  </r>
  <r>
    <s v="S98"/>
    <x v="1"/>
    <s v="Synthetic Title 98"/>
    <s v="Ava Duvernay"/>
    <s v="Morgan Freeman"/>
    <x v="0"/>
    <x v="95"/>
    <x v="6"/>
    <x v="5"/>
    <x v="38"/>
    <x v="1"/>
    <x v="4"/>
    <n v="1.2"/>
    <n v="100.85"/>
    <n v="41898000"/>
    <x v="1"/>
  </r>
  <r>
    <s v="S99"/>
    <x v="0"/>
    <s v="Synthetic Title 99"/>
    <s v="Martin Scorsese"/>
    <s v="Morgan Freeman"/>
    <x v="6"/>
    <x v="96"/>
    <x v="0"/>
    <x v="3"/>
    <x v="4"/>
    <x v="0"/>
    <x v="5"/>
    <n v="1.5"/>
    <n v="130.97999999999999"/>
    <n v="81141000"/>
    <x v="0"/>
  </r>
  <r>
    <s v="S100"/>
    <x v="1"/>
    <s v="Synthetic Title 100"/>
    <s v="Bong Joon Ho"/>
    <s v="Scarlett Johansson"/>
    <x v="0"/>
    <x v="97"/>
    <x v="16"/>
    <x v="4"/>
    <x v="5"/>
    <x v="1"/>
    <x v="4"/>
    <n v="6.3"/>
    <n v="118.94"/>
    <n v="53981000"/>
    <x v="1"/>
  </r>
  <r>
    <s v="S101"/>
    <x v="1"/>
    <s v="Synthetic Title 101"/>
    <s v="Steven Spielberg"/>
    <s v="Viola Davis, Leonardo Dicaprio, Brad Pitt"/>
    <x v="0"/>
    <x v="98"/>
    <x v="17"/>
    <x v="0"/>
    <x v="52"/>
    <x v="1"/>
    <x v="5"/>
    <n v="2.7"/>
    <n v="130.72"/>
    <n v="49469000"/>
    <x v="1"/>
  </r>
  <r>
    <s v="S102"/>
    <x v="0"/>
    <s v="Synthetic Title 102"/>
    <s v="Greta Gerwig"/>
    <s v="Unassigned"/>
    <x v="4"/>
    <x v="99"/>
    <x v="14"/>
    <x v="2"/>
    <x v="9"/>
    <x v="0"/>
    <x v="5"/>
    <n v="6.5"/>
    <n v="67.61"/>
    <n v="16999000"/>
    <x v="0"/>
  </r>
  <r>
    <s v="S103"/>
    <x v="0"/>
    <s v="Synthetic Title 103"/>
    <s v="Unassigned"/>
    <s v="Unassigned"/>
    <x v="3"/>
    <x v="100"/>
    <x v="14"/>
    <x v="5"/>
    <x v="7"/>
    <x v="0"/>
    <x v="1"/>
    <n v="7.9"/>
    <n v="70.84"/>
    <n v="43949000"/>
    <x v="0"/>
  </r>
  <r>
    <s v="S104"/>
    <x v="0"/>
    <s v="Synthetic Title 104"/>
    <s v="Ava Duvernay"/>
    <s v="Zendaya, Tom Hanks, Leonardo Dicaprio"/>
    <x v="5"/>
    <x v="101"/>
    <x v="30"/>
    <x v="4"/>
    <x v="26"/>
    <x v="0"/>
    <x v="4"/>
    <n v="2.2000000000000002"/>
    <n v="73.11"/>
    <n v="43946000"/>
    <x v="0"/>
  </r>
  <r>
    <s v="S105"/>
    <x v="1"/>
    <s v="Synthetic Title 105"/>
    <s v="Steven Spielberg"/>
    <s v="Viola Davis, Morgan Freeman, Brad Pitt"/>
    <x v="4"/>
    <x v="102"/>
    <x v="9"/>
    <x v="4"/>
    <x v="53"/>
    <x v="1"/>
    <x v="5"/>
    <n v="7.9"/>
    <n v="63.94"/>
    <n v="74217000"/>
    <x v="0"/>
  </r>
  <r>
    <s v="S106"/>
    <x v="0"/>
    <s v="Synthetic Title 106"/>
    <s v="Ava Duvernay"/>
    <s v="Leonardo Dicaprio, Brad Pitt, Morgan Freeman"/>
    <x v="1"/>
    <x v="103"/>
    <x v="21"/>
    <x v="5"/>
    <x v="15"/>
    <x v="0"/>
    <x v="3"/>
    <n v="1.4"/>
    <n v="105.46"/>
    <n v="42944000"/>
    <x v="1"/>
  </r>
  <r>
    <s v="S107"/>
    <x v="0"/>
    <s v="Synthetic Title 107"/>
    <s v="Martin Scorsese"/>
    <s v="Tom Hanks"/>
    <x v="6"/>
    <x v="104"/>
    <x v="23"/>
    <x v="3"/>
    <x v="0"/>
    <x v="0"/>
    <x v="1"/>
    <n v="5.4"/>
    <n v="96.97"/>
    <n v="51230000"/>
    <x v="1"/>
  </r>
  <r>
    <s v="S108"/>
    <x v="1"/>
    <s v="Synthetic Title 108"/>
    <s v="Martin Scorsese"/>
    <s v="Unassigned"/>
    <x v="0"/>
    <x v="105"/>
    <x v="9"/>
    <x v="3"/>
    <x v="8"/>
    <x v="1"/>
    <x v="1"/>
    <n v="7.1"/>
    <n v="47.45"/>
    <n v="47852000"/>
    <x v="0"/>
  </r>
  <r>
    <s v="S109"/>
    <x v="0"/>
    <s v="Synthetic Title 109"/>
    <s v="Bong Joon Ho"/>
    <s v="Viola Davis"/>
    <x v="0"/>
    <x v="106"/>
    <x v="31"/>
    <x v="5"/>
    <x v="7"/>
    <x v="0"/>
    <x v="3"/>
    <n v="3.1"/>
    <n v="33.83"/>
    <n v="59618000"/>
    <x v="1"/>
  </r>
  <r>
    <s v="S110"/>
    <x v="1"/>
    <s v="Synthetic Title 110"/>
    <s v="Ava Duvernay"/>
    <s v="Morgan Freeman"/>
    <x v="7"/>
    <x v="107"/>
    <x v="17"/>
    <x v="4"/>
    <x v="36"/>
    <x v="1"/>
    <x v="5"/>
    <n v="2.6"/>
    <n v="76.150000000000006"/>
    <n v="8118000"/>
    <x v="1"/>
  </r>
  <r>
    <s v="S111"/>
    <x v="1"/>
    <s v="Synthetic Title 111"/>
    <s v="Christopher Nolan"/>
    <s v="Unassigned"/>
    <x v="7"/>
    <x v="108"/>
    <x v="4"/>
    <x v="2"/>
    <x v="54"/>
    <x v="1"/>
    <x v="0"/>
    <n v="6.6"/>
    <n v="9.69"/>
    <n v="62835000"/>
    <x v="0"/>
  </r>
  <r>
    <s v="S112"/>
    <x v="1"/>
    <s v="Synthetic Title 112"/>
    <s v="Bong Joon Ho"/>
    <s v="Morgan Freeman, Tom Hanks"/>
    <x v="4"/>
    <x v="109"/>
    <x v="5"/>
    <x v="4"/>
    <x v="55"/>
    <x v="1"/>
    <x v="0"/>
    <n v="3.8"/>
    <n v="126.24"/>
    <n v="82858000"/>
    <x v="0"/>
  </r>
  <r>
    <s v="S113"/>
    <x v="0"/>
    <s v="Synthetic Title 113"/>
    <s v="Ava Duvernay"/>
    <s v="Zendaya"/>
    <x v="7"/>
    <x v="110"/>
    <x v="25"/>
    <x v="0"/>
    <x v="0"/>
    <x v="0"/>
    <x v="3"/>
    <n v="9.9"/>
    <n v="97.17"/>
    <n v="21787000"/>
    <x v="0"/>
  </r>
  <r>
    <s v="S114"/>
    <x v="0"/>
    <s v="Synthetic Title 114"/>
    <s v="Greta Gerwig"/>
    <s v="Tom Hanks, Leonardo Dicaprio"/>
    <x v="2"/>
    <x v="111"/>
    <x v="3"/>
    <x v="2"/>
    <x v="15"/>
    <x v="0"/>
    <x v="5"/>
    <n v="1.4"/>
    <n v="36.49"/>
    <n v="94732000"/>
    <x v="1"/>
  </r>
  <r>
    <s v="S115"/>
    <x v="1"/>
    <s v="Synthetic Title 115"/>
    <s v="Christopher Nolan"/>
    <s v="Viola Davis, Morgan Freeman, Brad Pitt"/>
    <x v="7"/>
    <x v="112"/>
    <x v="32"/>
    <x v="5"/>
    <x v="20"/>
    <x v="1"/>
    <x v="5"/>
    <n v="9.6"/>
    <n v="101.15"/>
    <n v="83877000"/>
    <x v="1"/>
  </r>
  <r>
    <s v="S116"/>
    <x v="1"/>
    <s v="Synthetic Title 116"/>
    <s v="Unassigned"/>
    <s v="Zendaya, Morgan Freeman, Viola Davis"/>
    <x v="4"/>
    <x v="113"/>
    <x v="15"/>
    <x v="4"/>
    <x v="48"/>
    <x v="1"/>
    <x v="2"/>
    <n v="3.1"/>
    <n v="135.76"/>
    <n v="6124000"/>
    <x v="0"/>
  </r>
  <r>
    <s v="S117"/>
    <x v="0"/>
    <s v="Synthetic Title 117"/>
    <s v="Martin Scorsese"/>
    <s v="Zendaya, Viola Davis"/>
    <x v="6"/>
    <x v="114"/>
    <x v="10"/>
    <x v="2"/>
    <x v="26"/>
    <x v="0"/>
    <x v="2"/>
    <n v="3.7"/>
    <n v="10.55"/>
    <n v="4936000"/>
    <x v="0"/>
  </r>
  <r>
    <s v="S118"/>
    <x v="0"/>
    <s v="Synthetic Title 118"/>
    <s v="Ava Duvernay"/>
    <s v="Brad Pitt, Morgan Freeman"/>
    <x v="3"/>
    <x v="115"/>
    <x v="8"/>
    <x v="5"/>
    <x v="10"/>
    <x v="0"/>
    <x v="1"/>
    <n v="2.9"/>
    <n v="33.520000000000003"/>
    <n v="39221000"/>
    <x v="0"/>
  </r>
  <r>
    <s v="S119"/>
    <x v="1"/>
    <s v="Synthetic Title 119"/>
    <s v="Ava Duvernay"/>
    <s v="Brad Pitt, Leonardo Dicaprio"/>
    <x v="7"/>
    <x v="116"/>
    <x v="9"/>
    <x v="5"/>
    <x v="19"/>
    <x v="1"/>
    <x v="3"/>
    <n v="9.1999999999999993"/>
    <n v="96.17"/>
    <n v="75558000"/>
    <x v="1"/>
  </r>
  <r>
    <s v="S120"/>
    <x v="1"/>
    <s v="Synthetic Title 120"/>
    <s v="Greta Gerwig"/>
    <s v="Leonardo Dicaprio"/>
    <x v="5"/>
    <x v="117"/>
    <x v="20"/>
    <x v="4"/>
    <x v="56"/>
    <x v="1"/>
    <x v="3"/>
    <n v="9.3000000000000007"/>
    <n v="22.66"/>
    <n v="60319000"/>
    <x v="0"/>
  </r>
  <r>
    <s v="S121"/>
    <x v="1"/>
    <s v="Synthetic Title 121"/>
    <s v="Bong Joon Ho"/>
    <s v="Brad Pitt, Scarlett Johansson"/>
    <x v="1"/>
    <x v="118"/>
    <x v="15"/>
    <x v="5"/>
    <x v="52"/>
    <x v="1"/>
    <x v="1"/>
    <n v="1.5"/>
    <n v="130.37"/>
    <n v="6713000"/>
    <x v="1"/>
  </r>
  <r>
    <s v="S122"/>
    <x v="1"/>
    <s v="Synthetic Title 122"/>
    <s v="Christopher Nolan"/>
    <s v="Scarlett Johansson, Tom Hanks, Leonardo Dicaprio"/>
    <x v="6"/>
    <x v="119"/>
    <x v="23"/>
    <x v="2"/>
    <x v="34"/>
    <x v="1"/>
    <x v="3"/>
    <n v="6.6"/>
    <n v="77.13"/>
    <n v="3326000"/>
    <x v="1"/>
  </r>
  <r>
    <s v="S123"/>
    <x v="1"/>
    <s v="Synthetic Title 123"/>
    <s v="Ava Duvernay"/>
    <s v="Brad Pitt, Scarlett Johansson"/>
    <x v="5"/>
    <x v="120"/>
    <x v="14"/>
    <x v="3"/>
    <x v="57"/>
    <x v="1"/>
    <x v="1"/>
    <n v="8.1999999999999993"/>
    <n v="2.4300000000000002"/>
    <n v="88446000"/>
    <x v="1"/>
  </r>
  <r>
    <s v="S124"/>
    <x v="1"/>
    <s v="Synthetic Title 124"/>
    <s v="Martin Scorsese"/>
    <s v="Viola Davis, Leonardo Dicaprio, Brad Pitt"/>
    <x v="7"/>
    <x v="112"/>
    <x v="20"/>
    <x v="2"/>
    <x v="58"/>
    <x v="1"/>
    <x v="4"/>
    <n v="4.4000000000000004"/>
    <n v="24.05"/>
    <n v="30909000"/>
    <x v="1"/>
  </r>
  <r>
    <s v="S125"/>
    <x v="1"/>
    <s v="Synthetic Title 125"/>
    <s v="Steven Spielberg"/>
    <s v="Viola Davis, Leonardo Dicaprio"/>
    <x v="5"/>
    <x v="121"/>
    <x v="31"/>
    <x v="3"/>
    <x v="59"/>
    <x v="1"/>
    <x v="3"/>
    <n v="2.2000000000000002"/>
    <n v="17.89"/>
    <n v="31512000"/>
    <x v="1"/>
  </r>
  <r>
    <s v="S126"/>
    <x v="0"/>
    <s v="Synthetic Title 126"/>
    <s v="Greta Gerwig"/>
    <s v="Tom Hanks, Leonardo Dicaprio, Brad Pitt"/>
    <x v="7"/>
    <x v="122"/>
    <x v="22"/>
    <x v="1"/>
    <x v="29"/>
    <x v="0"/>
    <x v="0"/>
    <n v="1.6"/>
    <n v="87.39"/>
    <n v="69970000"/>
    <x v="0"/>
  </r>
  <r>
    <s v="S127"/>
    <x v="0"/>
    <s v="Synthetic Title 127"/>
    <s v="Christopher Nolan"/>
    <s v="Scarlett Johansson"/>
    <x v="3"/>
    <x v="123"/>
    <x v="1"/>
    <x v="4"/>
    <x v="2"/>
    <x v="0"/>
    <x v="5"/>
    <n v="5"/>
    <n v="50.83"/>
    <n v="100445000"/>
    <x v="0"/>
  </r>
  <r>
    <s v="S128"/>
    <x v="0"/>
    <s v="Synthetic Title 128"/>
    <s v="Unassigned"/>
    <s v="Viola Davis, Tom Hanks"/>
    <x v="7"/>
    <x v="124"/>
    <x v="16"/>
    <x v="5"/>
    <x v="9"/>
    <x v="0"/>
    <x v="2"/>
    <n v="7.6"/>
    <n v="126.07"/>
    <n v="31778000"/>
    <x v="1"/>
  </r>
  <r>
    <s v="S129"/>
    <x v="0"/>
    <s v="Synthetic Title 129"/>
    <s v="Christopher Nolan"/>
    <s v="Unassigned"/>
    <x v="5"/>
    <x v="125"/>
    <x v="12"/>
    <x v="4"/>
    <x v="2"/>
    <x v="0"/>
    <x v="5"/>
    <n v="8.8000000000000007"/>
    <n v="86.05"/>
    <n v="48406000"/>
    <x v="0"/>
  </r>
  <r>
    <s v="S130"/>
    <x v="1"/>
    <s v="Synthetic Title 130"/>
    <s v="Martin Scorsese"/>
    <s v="Tom Hanks, Morgan Freeman"/>
    <x v="2"/>
    <x v="126"/>
    <x v="7"/>
    <x v="3"/>
    <x v="60"/>
    <x v="1"/>
    <x v="4"/>
    <n v="5"/>
    <n v="3.7"/>
    <n v="71319000"/>
    <x v="0"/>
  </r>
  <r>
    <s v="S131"/>
    <x v="0"/>
    <s v="Synthetic Title 131"/>
    <s v="Unassigned"/>
    <s v="Unassigned"/>
    <x v="5"/>
    <x v="127"/>
    <x v="2"/>
    <x v="5"/>
    <x v="2"/>
    <x v="0"/>
    <x v="5"/>
    <n v="5.3"/>
    <n v="95.32"/>
    <n v="72870000"/>
    <x v="0"/>
  </r>
  <r>
    <s v="S132"/>
    <x v="1"/>
    <s v="Synthetic Title 132"/>
    <s v="Steven Spielberg"/>
    <s v="Morgan Freeman"/>
    <x v="1"/>
    <x v="128"/>
    <x v="11"/>
    <x v="4"/>
    <x v="11"/>
    <x v="1"/>
    <x v="5"/>
    <n v="7.9"/>
    <n v="75.47"/>
    <n v="89799000"/>
    <x v="1"/>
  </r>
  <r>
    <s v="S133"/>
    <x v="0"/>
    <s v="Synthetic Title 133"/>
    <s v="Steven Spielberg"/>
    <s v="Tom Hanks, Brad Pitt"/>
    <x v="0"/>
    <x v="129"/>
    <x v="0"/>
    <x v="2"/>
    <x v="2"/>
    <x v="0"/>
    <x v="2"/>
    <n v="5.0999999999999996"/>
    <n v="138.6"/>
    <n v="67572000"/>
    <x v="1"/>
  </r>
  <r>
    <s v="S134"/>
    <x v="0"/>
    <s v="Synthetic Title 134"/>
    <s v="Christopher Nolan"/>
    <s v="Viola Davis, Morgan Freeman, Tom Hanks"/>
    <x v="1"/>
    <x v="130"/>
    <x v="30"/>
    <x v="2"/>
    <x v="29"/>
    <x v="0"/>
    <x v="2"/>
    <n v="4.4000000000000004"/>
    <n v="42.27"/>
    <n v="58598000"/>
    <x v="0"/>
  </r>
  <r>
    <s v="S135"/>
    <x v="1"/>
    <s v="Synthetic Title 135"/>
    <s v="Martin Scorsese"/>
    <s v="Zendaya"/>
    <x v="4"/>
    <x v="131"/>
    <x v="7"/>
    <x v="5"/>
    <x v="61"/>
    <x v="1"/>
    <x v="3"/>
    <n v="8.3000000000000007"/>
    <n v="55.61"/>
    <n v="97725000"/>
    <x v="1"/>
  </r>
  <r>
    <s v="S136"/>
    <x v="0"/>
    <s v="Synthetic Title 136"/>
    <s v="Unassigned"/>
    <s v="Morgan Freeman, Leonardo Dicaprio, Viola Davis"/>
    <x v="4"/>
    <x v="132"/>
    <x v="20"/>
    <x v="3"/>
    <x v="9"/>
    <x v="0"/>
    <x v="3"/>
    <n v="4"/>
    <n v="65.08"/>
    <n v="30231000"/>
    <x v="1"/>
  </r>
  <r>
    <s v="S137"/>
    <x v="1"/>
    <s v="Synthetic Title 137"/>
    <s v="Ava Duvernay"/>
    <s v="Leonardo Dicaprio"/>
    <x v="6"/>
    <x v="133"/>
    <x v="18"/>
    <x v="0"/>
    <x v="56"/>
    <x v="1"/>
    <x v="3"/>
    <n v="6.4"/>
    <n v="66.260000000000005"/>
    <n v="71905000"/>
    <x v="1"/>
  </r>
  <r>
    <s v="S138"/>
    <x v="1"/>
    <s v="Synthetic Title 138"/>
    <s v="Bong Joon Ho"/>
    <s v="Brad Pitt"/>
    <x v="4"/>
    <x v="134"/>
    <x v="11"/>
    <x v="1"/>
    <x v="62"/>
    <x v="1"/>
    <x v="2"/>
    <n v="4.0999999999999996"/>
    <n v="147.38999999999999"/>
    <n v="52924000"/>
    <x v="0"/>
  </r>
  <r>
    <s v="S139"/>
    <x v="0"/>
    <s v="Synthetic Title 139"/>
    <s v="Unassigned"/>
    <s v="Viola Davis, Zendaya"/>
    <x v="5"/>
    <x v="135"/>
    <x v="13"/>
    <x v="2"/>
    <x v="9"/>
    <x v="0"/>
    <x v="4"/>
    <n v="3.4"/>
    <n v="66.63"/>
    <n v="2438000"/>
    <x v="1"/>
  </r>
  <r>
    <s v="S140"/>
    <x v="0"/>
    <s v="Synthetic Title 140"/>
    <s v="Steven Spielberg"/>
    <s v="Brad Pitt, Tom Hanks"/>
    <x v="7"/>
    <x v="136"/>
    <x v="13"/>
    <x v="4"/>
    <x v="15"/>
    <x v="0"/>
    <x v="3"/>
    <n v="9.1"/>
    <n v="130.38"/>
    <n v="62901000"/>
    <x v="0"/>
  </r>
  <r>
    <s v="S141"/>
    <x v="0"/>
    <s v="Synthetic Title 141"/>
    <s v="Steven Spielberg"/>
    <s v="Morgan Freeman"/>
    <x v="7"/>
    <x v="137"/>
    <x v="28"/>
    <x v="2"/>
    <x v="26"/>
    <x v="0"/>
    <x v="4"/>
    <n v="9.9"/>
    <n v="15.65"/>
    <n v="23427000"/>
    <x v="0"/>
  </r>
  <r>
    <s v="S142"/>
    <x v="1"/>
    <s v="Synthetic Title 142"/>
    <s v="Unassigned"/>
    <s v="Morgan Freeman, Tom Hanks, Viola Davis"/>
    <x v="7"/>
    <x v="138"/>
    <x v="15"/>
    <x v="3"/>
    <x v="63"/>
    <x v="1"/>
    <x v="1"/>
    <n v="2.5"/>
    <n v="37.31"/>
    <n v="26918000"/>
    <x v="0"/>
  </r>
  <r>
    <s v="S143"/>
    <x v="1"/>
    <s v="Synthetic Title 143"/>
    <s v="Steven Spielberg"/>
    <s v="Brad Pitt, Scarlett Johansson"/>
    <x v="5"/>
    <x v="139"/>
    <x v="30"/>
    <x v="2"/>
    <x v="64"/>
    <x v="1"/>
    <x v="2"/>
    <n v="4.3"/>
    <n v="99.44"/>
    <n v="93658000"/>
    <x v="1"/>
  </r>
  <r>
    <s v="S144"/>
    <x v="1"/>
    <s v="Synthetic Title 144"/>
    <s v="Steven Spielberg"/>
    <s v="Viola Davis, Morgan Freeman, Tom Hanks"/>
    <x v="0"/>
    <x v="140"/>
    <x v="8"/>
    <x v="2"/>
    <x v="65"/>
    <x v="1"/>
    <x v="1"/>
    <n v="9.5"/>
    <n v="63.51"/>
    <n v="59109000"/>
    <x v="1"/>
  </r>
  <r>
    <s v="S145"/>
    <x v="0"/>
    <s v="Synthetic Title 145"/>
    <s v="Unassigned"/>
    <s v="Leonardo Dicaprio, Viola Davis"/>
    <x v="1"/>
    <x v="141"/>
    <x v="32"/>
    <x v="1"/>
    <x v="13"/>
    <x v="0"/>
    <x v="0"/>
    <n v="8.3000000000000007"/>
    <n v="111"/>
    <n v="49309000"/>
    <x v="0"/>
  </r>
  <r>
    <s v="S146"/>
    <x v="1"/>
    <s v="Synthetic Title 146"/>
    <s v="Christopher Nolan"/>
    <s v="Morgan Freeman, Viola Davis"/>
    <x v="3"/>
    <x v="142"/>
    <x v="17"/>
    <x v="0"/>
    <x v="66"/>
    <x v="1"/>
    <x v="0"/>
    <n v="8.3000000000000007"/>
    <n v="32.659999999999997"/>
    <n v="52831000"/>
    <x v="0"/>
  </r>
  <r>
    <s v="S147"/>
    <x v="1"/>
    <s v="Synthetic Title 147"/>
    <s v="Martin Scorsese"/>
    <s v="Leonardo Dicaprio, Viola Davis, Tom Hanks"/>
    <x v="6"/>
    <x v="143"/>
    <x v="5"/>
    <x v="3"/>
    <x v="67"/>
    <x v="1"/>
    <x v="2"/>
    <n v="1.6"/>
    <n v="42.94"/>
    <n v="99590000"/>
    <x v="1"/>
  </r>
  <r>
    <s v="S148"/>
    <x v="0"/>
    <s v="Synthetic Title 148"/>
    <s v="Christopher Nolan"/>
    <s v="Brad Pitt, Scarlett Johansson, Viola Davis"/>
    <x v="1"/>
    <x v="144"/>
    <x v="26"/>
    <x v="4"/>
    <x v="29"/>
    <x v="0"/>
    <x v="5"/>
    <n v="5.2"/>
    <n v="123.17"/>
    <n v="33927000"/>
    <x v="0"/>
  </r>
  <r>
    <s v="S149"/>
    <x v="0"/>
    <s v="Synthetic Title 149"/>
    <s v="Christopher Nolan"/>
    <s v="Zendaya, Leonardo Dicaprio, Tom Hanks"/>
    <x v="1"/>
    <x v="145"/>
    <x v="22"/>
    <x v="5"/>
    <x v="9"/>
    <x v="0"/>
    <x v="0"/>
    <n v="5.5"/>
    <n v="149.69"/>
    <n v="50605000"/>
    <x v="0"/>
  </r>
  <r>
    <s v="S150"/>
    <x v="1"/>
    <s v="Synthetic Title 150"/>
    <s v="Bong Joon Ho"/>
    <s v="Zendaya"/>
    <x v="1"/>
    <x v="146"/>
    <x v="8"/>
    <x v="2"/>
    <x v="49"/>
    <x v="1"/>
    <x v="1"/>
    <n v="4.5"/>
    <n v="10.44"/>
    <n v="59684000"/>
    <x v="0"/>
  </r>
  <r>
    <s v="S151"/>
    <x v="0"/>
    <s v="Synthetic Title 151"/>
    <s v="Unassigned"/>
    <s v="Zendaya, Morgan Freeman"/>
    <x v="4"/>
    <x v="147"/>
    <x v="12"/>
    <x v="2"/>
    <x v="29"/>
    <x v="0"/>
    <x v="3"/>
    <n v="6.3"/>
    <n v="22.71"/>
    <n v="46794000"/>
    <x v="0"/>
  </r>
  <r>
    <s v="S152"/>
    <x v="1"/>
    <s v="Synthetic Title 152"/>
    <s v="Christopher Nolan"/>
    <s v="Tom Hanks, Scarlett Johansson"/>
    <x v="1"/>
    <x v="148"/>
    <x v="25"/>
    <x v="3"/>
    <x v="68"/>
    <x v="1"/>
    <x v="3"/>
    <n v="6.8"/>
    <n v="122.32"/>
    <n v="45720000"/>
    <x v="1"/>
  </r>
  <r>
    <s v="S153"/>
    <x v="1"/>
    <s v="Synthetic Title 153"/>
    <s v="Greta Gerwig"/>
    <s v="Leonardo Dicaprio"/>
    <x v="1"/>
    <x v="149"/>
    <x v="24"/>
    <x v="1"/>
    <x v="69"/>
    <x v="1"/>
    <x v="0"/>
    <n v="9.1"/>
    <n v="48.37"/>
    <n v="67649000"/>
    <x v="0"/>
  </r>
  <r>
    <s v="S154"/>
    <x v="1"/>
    <s v="Synthetic Title 154"/>
    <s v="Ava Duvernay"/>
    <s v="Scarlett Johansson"/>
    <x v="7"/>
    <x v="150"/>
    <x v="18"/>
    <x v="1"/>
    <x v="70"/>
    <x v="1"/>
    <x v="3"/>
    <n v="6.7"/>
    <n v="120.07"/>
    <n v="80400000"/>
    <x v="0"/>
  </r>
  <r>
    <s v="S155"/>
    <x v="0"/>
    <s v="Synthetic Title 155"/>
    <s v="Unassigned"/>
    <s v="Leonardo Dicaprio, Tom Hanks"/>
    <x v="1"/>
    <x v="151"/>
    <x v="29"/>
    <x v="1"/>
    <x v="7"/>
    <x v="0"/>
    <x v="3"/>
    <n v="5.3"/>
    <n v="145.29"/>
    <n v="56770000"/>
    <x v="0"/>
  </r>
  <r>
    <s v="S156"/>
    <x v="0"/>
    <s v="Synthetic Title 156"/>
    <s v="Greta Gerwig"/>
    <s v="Scarlett Johansson"/>
    <x v="6"/>
    <x v="127"/>
    <x v="1"/>
    <x v="3"/>
    <x v="15"/>
    <x v="0"/>
    <x v="0"/>
    <n v="6"/>
    <n v="43.93"/>
    <n v="50739000"/>
    <x v="0"/>
  </r>
  <r>
    <s v="S157"/>
    <x v="1"/>
    <s v="Synthetic Title 157"/>
    <s v="Steven Spielberg"/>
    <s v="Tom Hanks, Morgan Freeman"/>
    <x v="3"/>
    <x v="152"/>
    <x v="4"/>
    <x v="0"/>
    <x v="71"/>
    <x v="1"/>
    <x v="3"/>
    <n v="5.7"/>
    <n v="63.24"/>
    <n v="25497000"/>
    <x v="1"/>
  </r>
  <r>
    <s v="S158"/>
    <x v="1"/>
    <s v="Synthetic Title 158"/>
    <s v="Greta Gerwig"/>
    <s v="Unassigned"/>
    <x v="5"/>
    <x v="153"/>
    <x v="18"/>
    <x v="5"/>
    <x v="72"/>
    <x v="1"/>
    <x v="1"/>
    <n v="5.7"/>
    <n v="125.77"/>
    <n v="24341000"/>
    <x v="1"/>
  </r>
  <r>
    <s v="S159"/>
    <x v="0"/>
    <s v="Synthetic Title 159"/>
    <s v="Ava Duvernay"/>
    <s v="Unassigned"/>
    <x v="7"/>
    <x v="154"/>
    <x v="3"/>
    <x v="3"/>
    <x v="2"/>
    <x v="0"/>
    <x v="1"/>
    <n v="7.4"/>
    <n v="142.37"/>
    <n v="78527000"/>
    <x v="0"/>
  </r>
  <r>
    <s v="S160"/>
    <x v="0"/>
    <s v="Synthetic Title 160"/>
    <s v="Bong Joon Ho"/>
    <s v="Morgan Freeman"/>
    <x v="3"/>
    <x v="155"/>
    <x v="20"/>
    <x v="1"/>
    <x v="7"/>
    <x v="0"/>
    <x v="1"/>
    <n v="8.9"/>
    <n v="8.19"/>
    <n v="65752000"/>
    <x v="1"/>
  </r>
  <r>
    <s v="S161"/>
    <x v="0"/>
    <s v="Synthetic Title 161"/>
    <s v="Greta Gerwig"/>
    <s v="Brad Pitt"/>
    <x v="0"/>
    <x v="156"/>
    <x v="29"/>
    <x v="2"/>
    <x v="10"/>
    <x v="0"/>
    <x v="3"/>
    <n v="9.1999999999999993"/>
    <n v="83.25"/>
    <n v="84359000"/>
    <x v="0"/>
  </r>
  <r>
    <s v="S162"/>
    <x v="0"/>
    <s v="Synthetic Title 162"/>
    <s v="Greta Gerwig"/>
    <s v="Tom Hanks, Brad Pitt, Morgan Freeman"/>
    <x v="0"/>
    <x v="157"/>
    <x v="6"/>
    <x v="3"/>
    <x v="29"/>
    <x v="0"/>
    <x v="0"/>
    <n v="7.7"/>
    <n v="33.83"/>
    <n v="96667000"/>
    <x v="1"/>
  </r>
  <r>
    <s v="S163"/>
    <x v="1"/>
    <s v="Synthetic Title 163"/>
    <s v="Steven Spielberg"/>
    <s v="Brad Pitt"/>
    <x v="5"/>
    <x v="158"/>
    <x v="23"/>
    <x v="0"/>
    <x v="30"/>
    <x v="1"/>
    <x v="5"/>
    <n v="1.4"/>
    <n v="2.3199999999999998"/>
    <n v="6961000"/>
    <x v="0"/>
  </r>
  <r>
    <s v="S164"/>
    <x v="1"/>
    <s v="Synthetic Title 164"/>
    <s v="Unassigned"/>
    <s v="Tom Hanks, Scarlett Johansson, Brad Pitt"/>
    <x v="3"/>
    <x v="159"/>
    <x v="24"/>
    <x v="2"/>
    <x v="73"/>
    <x v="1"/>
    <x v="4"/>
    <n v="999"/>
    <n v="68.569999999999993"/>
    <n v="29338000"/>
    <x v="1"/>
  </r>
  <r>
    <s v="S165"/>
    <x v="0"/>
    <s v="Synthetic Title 165"/>
    <s v="Greta Gerwig"/>
    <s v="Brad Pitt, Viola Davis"/>
    <x v="1"/>
    <x v="160"/>
    <x v="18"/>
    <x v="3"/>
    <x v="2"/>
    <x v="0"/>
    <x v="1"/>
    <n v="9.3000000000000007"/>
    <n v="35.729999999999997"/>
    <n v="60528000"/>
    <x v="0"/>
  </r>
  <r>
    <s v="S166"/>
    <x v="0"/>
    <s v="Synthetic Title 166"/>
    <s v="Greta Gerwig"/>
    <s v="Scarlett Johansson, Tom Hanks"/>
    <x v="5"/>
    <x v="161"/>
    <x v="30"/>
    <x v="3"/>
    <x v="9"/>
    <x v="0"/>
    <x v="1"/>
    <n v="3.9"/>
    <n v="15.93"/>
    <n v="1183000"/>
    <x v="1"/>
  </r>
  <r>
    <s v="S167"/>
    <x v="0"/>
    <s v="Synthetic Title 167"/>
    <s v="Martin Scorsese"/>
    <s v="Morgan Freeman"/>
    <x v="5"/>
    <x v="162"/>
    <x v="31"/>
    <x v="3"/>
    <x v="9"/>
    <x v="0"/>
    <x v="3"/>
    <n v="4.9000000000000004"/>
    <n v="127.93"/>
    <n v="46139000"/>
    <x v="0"/>
  </r>
  <r>
    <s v="S168"/>
    <x v="1"/>
    <s v="Synthetic Title 168"/>
    <s v="Christopher Nolan"/>
    <s v="Morgan Freeman, Scarlett Johansson"/>
    <x v="0"/>
    <x v="163"/>
    <x v="5"/>
    <x v="3"/>
    <x v="70"/>
    <x v="1"/>
    <x v="3"/>
    <n v="8"/>
    <n v="54.46"/>
    <n v="38375000"/>
    <x v="0"/>
  </r>
  <r>
    <s v="S169"/>
    <x v="1"/>
    <s v="Synthetic Title 169"/>
    <s v="Martin Scorsese"/>
    <s v="Brad Pitt, Scarlett Johansson, Morgan Freeman"/>
    <x v="6"/>
    <x v="164"/>
    <x v="26"/>
    <x v="1"/>
    <x v="64"/>
    <x v="1"/>
    <x v="5"/>
    <n v="6.9"/>
    <n v="16.260000000000002"/>
    <n v="66366000"/>
    <x v="1"/>
  </r>
  <r>
    <s v="S170"/>
    <x v="0"/>
    <s v="Synthetic Title 170"/>
    <s v="Unassigned"/>
    <s v="Zendaya"/>
    <x v="4"/>
    <x v="165"/>
    <x v="15"/>
    <x v="5"/>
    <x v="10"/>
    <x v="0"/>
    <x v="5"/>
    <n v="2.5"/>
    <n v="25.74"/>
    <n v="72507000"/>
    <x v="1"/>
  </r>
  <r>
    <s v="S171"/>
    <x v="0"/>
    <s v="Synthetic Title 171"/>
    <s v="Ava Duvernay"/>
    <s v="Leonardo Dicaprio"/>
    <x v="6"/>
    <x v="166"/>
    <x v="1"/>
    <x v="2"/>
    <x v="26"/>
    <x v="0"/>
    <x v="5"/>
    <n v="2.5"/>
    <n v="55.9"/>
    <n v="3945000"/>
    <x v="1"/>
  </r>
  <r>
    <s v="S172"/>
    <x v="0"/>
    <s v="Synthetic Title 172"/>
    <s v="Steven Spielberg"/>
    <s v="Tom Hanks, Leonardo Dicaprio"/>
    <x v="4"/>
    <x v="167"/>
    <x v="24"/>
    <x v="4"/>
    <x v="7"/>
    <x v="0"/>
    <x v="5"/>
    <n v="8.6999999999999993"/>
    <n v="95.14"/>
    <n v="28904000"/>
    <x v="1"/>
  </r>
  <r>
    <s v="S173"/>
    <x v="0"/>
    <s v="Synthetic Title 173"/>
    <s v="Greta Gerwig"/>
    <s v="Morgan Freeman"/>
    <x v="6"/>
    <x v="168"/>
    <x v="27"/>
    <x v="5"/>
    <x v="4"/>
    <x v="0"/>
    <x v="2"/>
    <n v="1.9"/>
    <n v="101.25"/>
    <n v="93478000"/>
    <x v="0"/>
  </r>
  <r>
    <s v="S174"/>
    <x v="0"/>
    <s v="Synthetic Title 174"/>
    <s v="Martin Scorsese"/>
    <s v="Leonardo Dicaprio, Viola Davis"/>
    <x v="6"/>
    <x v="169"/>
    <x v="31"/>
    <x v="4"/>
    <x v="29"/>
    <x v="0"/>
    <x v="0"/>
    <n v="9.4"/>
    <n v="89.44"/>
    <n v="59768000"/>
    <x v="1"/>
  </r>
  <r>
    <s v="S175"/>
    <x v="0"/>
    <s v="Synthetic Title 175"/>
    <s v="Christopher Nolan"/>
    <s v="Scarlett Johansson, Tom Hanks, Leonardo Dicaprio"/>
    <x v="4"/>
    <x v="170"/>
    <x v="27"/>
    <x v="3"/>
    <x v="9"/>
    <x v="0"/>
    <x v="1"/>
    <n v="9"/>
    <n v="32.72"/>
    <n v="98914000"/>
    <x v="1"/>
  </r>
  <r>
    <s v="S176"/>
    <x v="0"/>
    <s v="Synthetic Title 176"/>
    <s v="Martin Scorsese"/>
    <s v="Zendaya, Viola Davis, Tom Hanks"/>
    <x v="5"/>
    <x v="171"/>
    <x v="8"/>
    <x v="2"/>
    <x v="9"/>
    <x v="0"/>
    <x v="3"/>
    <n v="5.8"/>
    <n v="25.17"/>
    <n v="8548000"/>
    <x v="0"/>
  </r>
  <r>
    <s v="S177"/>
    <x v="1"/>
    <s v="Synthetic Title 177"/>
    <s v="Steven Spielberg"/>
    <s v="Viola Davis, Zendaya"/>
    <x v="1"/>
    <x v="172"/>
    <x v="28"/>
    <x v="3"/>
    <x v="74"/>
    <x v="1"/>
    <x v="5"/>
    <n v="6.6"/>
    <n v="147.99"/>
    <n v="68946000"/>
    <x v="0"/>
  </r>
  <r>
    <s v="S178"/>
    <x v="0"/>
    <s v="Synthetic Title 178"/>
    <s v="Martin Scorsese"/>
    <s v="Zendaya, Tom Hanks"/>
    <x v="4"/>
    <x v="173"/>
    <x v="7"/>
    <x v="1"/>
    <x v="10"/>
    <x v="0"/>
    <x v="4"/>
    <n v="3.4"/>
    <n v="82.68"/>
    <n v="85758000"/>
    <x v="1"/>
  </r>
  <r>
    <s v="S179"/>
    <x v="0"/>
    <s v="Synthetic Title 179"/>
    <s v="Ava Duvernay"/>
    <s v="Viola Davis"/>
    <x v="4"/>
    <x v="174"/>
    <x v="10"/>
    <x v="5"/>
    <x v="2"/>
    <x v="0"/>
    <x v="2"/>
    <n v="9.3000000000000007"/>
    <n v="15.99"/>
    <n v="3207000"/>
    <x v="1"/>
  </r>
  <r>
    <s v="S180"/>
    <x v="1"/>
    <s v="Synthetic Title 180"/>
    <s v="Steven Spielberg"/>
    <s v="Morgan Freeman, Viola Davis"/>
    <x v="0"/>
    <x v="175"/>
    <x v="9"/>
    <x v="5"/>
    <x v="75"/>
    <x v="1"/>
    <x v="5"/>
    <n v="9.9"/>
    <n v="56.79"/>
    <n v="19345000"/>
    <x v="1"/>
  </r>
  <r>
    <s v="S181"/>
    <x v="0"/>
    <s v="Synthetic Title 181"/>
    <s v="Ava Duvernay"/>
    <s v="Leonardo Dicaprio"/>
    <x v="5"/>
    <x v="176"/>
    <x v="3"/>
    <x v="5"/>
    <x v="13"/>
    <x v="0"/>
    <x v="0"/>
    <n v="7.4"/>
    <n v="98.33"/>
    <n v="82255000"/>
    <x v="0"/>
  </r>
  <r>
    <s v="S182"/>
    <x v="1"/>
    <s v="Synthetic Title 182"/>
    <s v="Christopher Nolan"/>
    <s v="Leonardo Dicaprio"/>
    <x v="6"/>
    <x v="177"/>
    <x v="17"/>
    <x v="1"/>
    <x v="28"/>
    <x v="1"/>
    <x v="0"/>
    <n v="6.3"/>
    <n v="26.73"/>
    <n v="30377000"/>
    <x v="0"/>
  </r>
  <r>
    <s v="S183"/>
    <x v="1"/>
    <s v="Synthetic Title 183"/>
    <s v="Ava Duvernay"/>
    <s v="Brad Pitt, Leonardo Dicaprio"/>
    <x v="3"/>
    <x v="178"/>
    <x v="21"/>
    <x v="1"/>
    <x v="14"/>
    <x v="1"/>
    <x v="5"/>
    <n v="5.9"/>
    <n v="47.41"/>
    <n v="82875000"/>
    <x v="1"/>
  </r>
  <r>
    <s v="S184"/>
    <x v="1"/>
    <s v="Synthetic Title 184"/>
    <s v="Christopher Nolan"/>
    <s v="Viola Davis"/>
    <x v="4"/>
    <x v="179"/>
    <x v="0"/>
    <x v="5"/>
    <x v="76"/>
    <x v="1"/>
    <x v="1"/>
    <n v="4.5999999999999996"/>
    <n v="128.29"/>
    <n v="67529000"/>
    <x v="1"/>
  </r>
  <r>
    <s v="S185"/>
    <x v="1"/>
    <s v="Synthetic Title 185"/>
    <s v="Greta Gerwig"/>
    <s v="Zendaya, Viola Davis"/>
    <x v="4"/>
    <x v="180"/>
    <x v="0"/>
    <x v="4"/>
    <x v="38"/>
    <x v="1"/>
    <x v="1"/>
    <n v="3.8"/>
    <n v="3.07"/>
    <n v="84627000"/>
    <x v="0"/>
  </r>
  <r>
    <s v="S186"/>
    <x v="1"/>
    <s v="Synthetic Title 186"/>
    <s v="Greta Gerwig"/>
    <s v="Tom Hanks, Viola Davis"/>
    <x v="7"/>
    <x v="181"/>
    <x v="18"/>
    <x v="0"/>
    <x v="36"/>
    <x v="1"/>
    <x v="3"/>
    <n v="1.5"/>
    <n v="88.28"/>
    <n v="60641000"/>
    <x v="0"/>
  </r>
  <r>
    <s v="S187"/>
    <x v="1"/>
    <s v="Synthetic Title 187"/>
    <s v="Greta Gerwig"/>
    <s v="Leonardo Dicaprio, Viola Davis"/>
    <x v="5"/>
    <x v="182"/>
    <x v="29"/>
    <x v="4"/>
    <x v="68"/>
    <x v="1"/>
    <x v="3"/>
    <n v="6.5"/>
    <n v="93.83"/>
    <n v="94471000"/>
    <x v="1"/>
  </r>
  <r>
    <s v="S188"/>
    <x v="0"/>
    <s v="Synthetic Title 188"/>
    <s v="Martin Scorsese"/>
    <s v="Viola Davis, Tom Hanks"/>
    <x v="0"/>
    <x v="183"/>
    <x v="8"/>
    <x v="0"/>
    <x v="9"/>
    <x v="0"/>
    <x v="2"/>
    <n v="5.5"/>
    <n v="55.64"/>
    <n v="79904000"/>
    <x v="0"/>
  </r>
  <r>
    <s v="S189"/>
    <x v="0"/>
    <s v="Synthetic Title 189"/>
    <s v="Christopher Nolan"/>
    <s v="Brad Pitt, Viola Davis"/>
    <x v="5"/>
    <x v="184"/>
    <x v="12"/>
    <x v="4"/>
    <x v="26"/>
    <x v="0"/>
    <x v="4"/>
    <n v="4.2"/>
    <n v="76.33"/>
    <n v="46339000"/>
    <x v="1"/>
  </r>
  <r>
    <s v="S190"/>
    <x v="0"/>
    <s v="Synthetic Title 190"/>
    <s v="Steven Spielberg"/>
    <s v="Leonardo Dicaprio, Scarlett Johansson"/>
    <x v="1"/>
    <x v="185"/>
    <x v="1"/>
    <x v="0"/>
    <x v="26"/>
    <x v="0"/>
    <x v="5"/>
    <n v="8.6"/>
    <n v="62.91"/>
    <n v="31747000"/>
    <x v="0"/>
  </r>
  <r>
    <s v="S191"/>
    <x v="0"/>
    <s v="Synthetic Title 191"/>
    <s v="Steven Spielberg"/>
    <s v="Brad Pitt"/>
    <x v="3"/>
    <x v="186"/>
    <x v="23"/>
    <x v="0"/>
    <x v="9"/>
    <x v="0"/>
    <x v="2"/>
    <n v="2"/>
    <n v="66.27"/>
    <n v="69620000"/>
    <x v="0"/>
  </r>
  <r>
    <s v="S192"/>
    <x v="0"/>
    <s v="Synthetic Title 192"/>
    <s v="Ava Duvernay"/>
    <s v="Leonardo Dicaprio"/>
    <x v="1"/>
    <x v="187"/>
    <x v="22"/>
    <x v="4"/>
    <x v="0"/>
    <x v="0"/>
    <x v="4"/>
    <n v="5.3"/>
    <n v="133.80000000000001"/>
    <n v="23456000"/>
    <x v="0"/>
  </r>
  <r>
    <s v="S193"/>
    <x v="0"/>
    <s v="Synthetic Title 193"/>
    <s v="Unassigned"/>
    <s v="Leonardo Dicaprio, Scarlett Johansson"/>
    <x v="2"/>
    <x v="188"/>
    <x v="9"/>
    <x v="4"/>
    <x v="26"/>
    <x v="0"/>
    <x v="5"/>
    <n v="3.4"/>
    <n v="76.290000000000006"/>
    <n v="41964000"/>
    <x v="0"/>
  </r>
  <r>
    <s v="S194"/>
    <x v="1"/>
    <s v="Synthetic Title 194"/>
    <s v="Bong Joon Ho"/>
    <s v="Leonardo Dicaprio, Scarlett Johansson, Viola Davis"/>
    <x v="4"/>
    <x v="189"/>
    <x v="29"/>
    <x v="5"/>
    <x v="76"/>
    <x v="1"/>
    <x v="0"/>
    <n v="8.3000000000000007"/>
    <n v="78.81"/>
    <n v="14719000"/>
    <x v="1"/>
  </r>
  <r>
    <s v="S195"/>
    <x v="1"/>
    <s v="Synthetic Title 195"/>
    <s v="Martin Scorsese"/>
    <s v="Brad Pitt, Zendaya"/>
    <x v="3"/>
    <x v="190"/>
    <x v="23"/>
    <x v="5"/>
    <x v="52"/>
    <x v="1"/>
    <x v="4"/>
    <n v="3.3"/>
    <n v="84.39"/>
    <n v="65320000"/>
    <x v="1"/>
  </r>
  <r>
    <s v="S196"/>
    <x v="1"/>
    <s v="Synthetic Title 196"/>
    <s v="Martin Scorsese"/>
    <s v="Unassigned"/>
    <x v="4"/>
    <x v="191"/>
    <x v="2"/>
    <x v="5"/>
    <x v="77"/>
    <x v="1"/>
    <x v="4"/>
    <n v="7.9"/>
    <n v="72.599999999999994"/>
    <n v="72671000"/>
    <x v="1"/>
  </r>
  <r>
    <s v="S197"/>
    <x v="0"/>
    <s v="Synthetic Title 197"/>
    <s v="Bong Joon Ho"/>
    <s v="Morgan Freeman, Zendaya, Brad Pitt"/>
    <x v="3"/>
    <x v="157"/>
    <x v="2"/>
    <x v="0"/>
    <x v="29"/>
    <x v="0"/>
    <x v="3"/>
    <n v="8.1"/>
    <n v="43.48"/>
    <n v="88701000"/>
    <x v="0"/>
  </r>
  <r>
    <s v="S198"/>
    <x v="0"/>
    <s v="Synthetic Title 198"/>
    <s v="Unassigned"/>
    <s v="Morgan Freeman, Scarlett Johansson"/>
    <x v="0"/>
    <x v="192"/>
    <x v="8"/>
    <x v="3"/>
    <x v="4"/>
    <x v="0"/>
    <x v="1"/>
    <n v="7"/>
    <n v="142.59"/>
    <n v="60650000"/>
    <x v="1"/>
  </r>
  <r>
    <s v="S199"/>
    <x v="1"/>
    <s v="Synthetic Title 199"/>
    <s v="Christopher Nolan"/>
    <s v="Morgan Freeman, Brad Pitt"/>
    <x v="3"/>
    <x v="9"/>
    <x v="19"/>
    <x v="5"/>
    <x v="78"/>
    <x v="1"/>
    <x v="5"/>
    <n v="2.6"/>
    <n v="123.87"/>
    <n v="45193000"/>
    <x v="1"/>
  </r>
  <r>
    <s v="S200"/>
    <x v="1"/>
    <s v="Synthetic Title 200"/>
    <s v="Christopher Nolan"/>
    <s v="Brad Pitt, Scarlett Johansson, Viola Davis"/>
    <x v="3"/>
    <x v="193"/>
    <x v="18"/>
    <x v="2"/>
    <x v="79"/>
    <x v="1"/>
    <x v="5"/>
    <n v="6.8"/>
    <n v="111.55"/>
    <n v="36648000"/>
    <x v="0"/>
  </r>
  <r>
    <s v="S201"/>
    <x v="1"/>
    <s v="Synthetic Title 201"/>
    <s v="Martin Scorsese"/>
    <s v="Scarlett Johansson, Leonardo Dicaprio, Brad Pitt"/>
    <x v="4"/>
    <x v="194"/>
    <x v="2"/>
    <x v="0"/>
    <x v="80"/>
    <x v="1"/>
    <x v="3"/>
    <n v="1.7"/>
    <n v="104.95"/>
    <n v="84613000"/>
    <x v="1"/>
  </r>
  <r>
    <s v="S202"/>
    <x v="1"/>
    <s v="Synthetic Title 202"/>
    <s v="Martin Scorsese"/>
    <s v="Unassigned"/>
    <x v="4"/>
    <x v="195"/>
    <x v="7"/>
    <x v="4"/>
    <x v="41"/>
    <x v="1"/>
    <x v="5"/>
    <n v="1.3"/>
    <n v="139.37"/>
    <n v="67895000"/>
    <x v="0"/>
  </r>
  <r>
    <s v="S203"/>
    <x v="1"/>
    <s v="Synthetic Title 203"/>
    <s v="Unassigned"/>
    <s v="Tom Hanks"/>
    <x v="4"/>
    <x v="196"/>
    <x v="7"/>
    <x v="1"/>
    <x v="41"/>
    <x v="1"/>
    <x v="0"/>
    <n v="4.5"/>
    <n v="142.16999999999999"/>
    <n v="81499000"/>
    <x v="0"/>
  </r>
  <r>
    <s v="S204"/>
    <x v="0"/>
    <s v="Synthetic Title 204"/>
    <s v="Greta Gerwig"/>
    <s v="Scarlett Johansson, Viola Davis"/>
    <x v="6"/>
    <x v="197"/>
    <x v="27"/>
    <x v="2"/>
    <x v="29"/>
    <x v="0"/>
    <x v="3"/>
    <n v="9.1"/>
    <n v="89.35"/>
    <n v="73638000"/>
    <x v="1"/>
  </r>
  <r>
    <s v="S205"/>
    <x v="1"/>
    <s v="Synthetic Title 205"/>
    <s v="Steven Spielberg"/>
    <s v="Scarlett Johansson, Zendaya"/>
    <x v="6"/>
    <x v="198"/>
    <x v="20"/>
    <x v="0"/>
    <x v="11"/>
    <x v="1"/>
    <x v="3"/>
    <n v="4.7"/>
    <n v="119.88"/>
    <n v="53122000"/>
    <x v="1"/>
  </r>
  <r>
    <s v="S206"/>
    <x v="0"/>
    <s v="Synthetic Title 206"/>
    <s v="Greta Gerwig"/>
    <s v="Brad Pitt, Morgan Freeman"/>
    <x v="0"/>
    <x v="199"/>
    <x v="15"/>
    <x v="2"/>
    <x v="15"/>
    <x v="0"/>
    <x v="1"/>
    <n v="9.1"/>
    <n v="76.14"/>
    <n v="22675000"/>
    <x v="1"/>
  </r>
  <r>
    <s v="S207"/>
    <x v="0"/>
    <s v="Synthetic Title 207"/>
    <s v="Bong Joon Ho"/>
    <s v="Scarlett Johansson, Viola Davis, Morgan Freeman"/>
    <x v="7"/>
    <x v="190"/>
    <x v="0"/>
    <x v="1"/>
    <x v="0"/>
    <x v="0"/>
    <x v="2"/>
    <n v="2.1"/>
    <n v="66.77"/>
    <n v="74211000"/>
    <x v="1"/>
  </r>
  <r>
    <s v="S208"/>
    <x v="1"/>
    <s v="Synthetic Title 208"/>
    <s v="Unassigned"/>
    <s v="Morgan Freeman, Brad Pitt"/>
    <x v="1"/>
    <x v="200"/>
    <x v="17"/>
    <x v="4"/>
    <x v="46"/>
    <x v="1"/>
    <x v="2"/>
    <n v="1.5"/>
    <n v="116.23"/>
    <n v="13658000"/>
    <x v="1"/>
  </r>
  <r>
    <s v="S209"/>
    <x v="1"/>
    <s v="Synthetic Title 209"/>
    <s v="Christopher Nolan"/>
    <s v="Viola Davis, Tom Hanks"/>
    <x v="0"/>
    <x v="201"/>
    <x v="2"/>
    <x v="5"/>
    <x v="77"/>
    <x v="1"/>
    <x v="5"/>
    <n v="5.4"/>
    <n v="91.38"/>
    <n v="51335000"/>
    <x v="0"/>
  </r>
  <r>
    <s v="S210"/>
    <x v="1"/>
    <s v="Synthetic Title 210"/>
    <s v="Steven Spielberg"/>
    <s v="Viola Davis"/>
    <x v="6"/>
    <x v="202"/>
    <x v="12"/>
    <x v="0"/>
    <x v="23"/>
    <x v="1"/>
    <x v="3"/>
    <n v="1"/>
    <n v="65.69"/>
    <n v="12586000"/>
    <x v="1"/>
  </r>
  <r>
    <s v="S211"/>
    <x v="0"/>
    <s v="Synthetic Title 211"/>
    <s v="Unassigned"/>
    <s v="Viola Davis"/>
    <x v="5"/>
    <x v="203"/>
    <x v="3"/>
    <x v="1"/>
    <x v="4"/>
    <x v="0"/>
    <x v="4"/>
    <n v="5.7"/>
    <n v="5.82"/>
    <n v="87425000"/>
    <x v="1"/>
  </r>
  <r>
    <s v="S212"/>
    <x v="1"/>
    <s v="Synthetic Title 212"/>
    <s v="Steven Spielberg"/>
    <s v="Unassigned"/>
    <x v="1"/>
    <x v="204"/>
    <x v="30"/>
    <x v="0"/>
    <x v="47"/>
    <x v="1"/>
    <x v="4"/>
    <n v="9"/>
    <n v="95.81"/>
    <n v="92752000"/>
    <x v="0"/>
  </r>
  <r>
    <s v="S213"/>
    <x v="0"/>
    <s v="Synthetic Title 213"/>
    <s v="Christopher Nolan"/>
    <s v="Morgan Freeman, Scarlett Johansson, Zendaya"/>
    <x v="4"/>
    <x v="205"/>
    <x v="5"/>
    <x v="3"/>
    <x v="2"/>
    <x v="0"/>
    <x v="0"/>
    <n v="6.1"/>
    <n v="65.52"/>
    <n v="22334000"/>
    <x v="1"/>
  </r>
  <r>
    <s v="S214"/>
    <x v="0"/>
    <s v="Synthetic Title 214"/>
    <s v="Martin Scorsese"/>
    <s v="Viola Davis, Leonardo Dicaprio"/>
    <x v="4"/>
    <x v="206"/>
    <x v="19"/>
    <x v="4"/>
    <x v="0"/>
    <x v="0"/>
    <x v="2"/>
    <n v="2.6"/>
    <n v="10.74"/>
    <n v="23674000"/>
    <x v="0"/>
  </r>
  <r>
    <s v="S215"/>
    <x v="1"/>
    <s v="Synthetic Title 215"/>
    <s v="Greta Gerwig"/>
    <s v="Scarlett Johansson, Morgan Freeman, Brad Pitt"/>
    <x v="4"/>
    <x v="207"/>
    <x v="25"/>
    <x v="5"/>
    <x v="81"/>
    <x v="1"/>
    <x v="2"/>
    <n v="4.3"/>
    <n v="75"/>
    <n v="30676000"/>
    <x v="0"/>
  </r>
  <r>
    <s v="S216"/>
    <x v="1"/>
    <s v="Synthetic Title 216"/>
    <s v="Christopher Nolan"/>
    <s v="Leonardo Dicaprio, Viola Davis, Morgan Freeman"/>
    <x v="3"/>
    <x v="208"/>
    <x v="29"/>
    <x v="1"/>
    <x v="82"/>
    <x v="1"/>
    <x v="0"/>
    <n v="3.1"/>
    <n v="105.47"/>
    <n v="34643000"/>
    <x v="0"/>
  </r>
  <r>
    <s v="S217"/>
    <x v="1"/>
    <s v="Synthetic Title 217"/>
    <s v="Greta Gerwig"/>
    <s v="Scarlett Johansson"/>
    <x v="7"/>
    <x v="209"/>
    <x v="23"/>
    <x v="1"/>
    <x v="44"/>
    <x v="1"/>
    <x v="3"/>
    <n v="6.5"/>
    <n v="2.36"/>
    <n v="31272000"/>
    <x v="0"/>
  </r>
  <r>
    <s v="S218"/>
    <x v="1"/>
    <s v="Synthetic Title 218"/>
    <s v="Christopher Nolan"/>
    <s v="Morgan Freeman"/>
    <x v="4"/>
    <x v="210"/>
    <x v="12"/>
    <x v="3"/>
    <x v="51"/>
    <x v="1"/>
    <x v="1"/>
    <n v="2"/>
    <n v="54.67"/>
    <n v="53833000"/>
    <x v="1"/>
  </r>
  <r>
    <s v="S219"/>
    <x v="0"/>
    <s v="Synthetic Title 219"/>
    <s v="Steven Spielberg"/>
    <s v="Viola Davis, Morgan Freeman, Tom Hanks"/>
    <x v="2"/>
    <x v="211"/>
    <x v="15"/>
    <x v="5"/>
    <x v="0"/>
    <x v="0"/>
    <x v="4"/>
    <n v="8.1999999999999993"/>
    <n v="75.760000000000005"/>
    <n v="4786000"/>
    <x v="1"/>
  </r>
  <r>
    <s v="S220"/>
    <x v="0"/>
    <s v="Synthetic Title 220"/>
    <s v="Steven Spielberg"/>
    <s v="Leonardo Dicaprio"/>
    <x v="2"/>
    <x v="212"/>
    <x v="4"/>
    <x v="4"/>
    <x v="29"/>
    <x v="0"/>
    <x v="3"/>
    <n v="5.9"/>
    <n v="26.91"/>
    <n v="93438000"/>
    <x v="0"/>
  </r>
  <r>
    <s v="S221"/>
    <x v="1"/>
    <s v="Synthetic Title 221"/>
    <s v="Unassigned"/>
    <s v="Tom Hanks, Brad Pitt"/>
    <x v="2"/>
    <x v="213"/>
    <x v="6"/>
    <x v="0"/>
    <x v="48"/>
    <x v="1"/>
    <x v="1"/>
    <n v="8.6999999999999993"/>
    <n v="46.21"/>
    <n v="78771000"/>
    <x v="1"/>
  </r>
  <r>
    <s v="S222"/>
    <x v="0"/>
    <s v="Synthetic Title 222"/>
    <s v="Ava Duvernay"/>
    <s v="Brad Pitt, Zendaya, Morgan Freeman"/>
    <x v="2"/>
    <x v="214"/>
    <x v="15"/>
    <x v="3"/>
    <x v="10"/>
    <x v="0"/>
    <x v="4"/>
    <n v="7.3"/>
    <n v="77.650000000000006"/>
    <n v="49106000"/>
    <x v="1"/>
  </r>
  <r>
    <s v="S223"/>
    <x v="0"/>
    <s v="Synthetic Title 223"/>
    <s v="Christopher Nolan"/>
    <s v="Zendaya, Scarlett Johansson"/>
    <x v="4"/>
    <x v="215"/>
    <x v="19"/>
    <x v="0"/>
    <x v="4"/>
    <x v="0"/>
    <x v="1"/>
    <n v="8.8000000000000007"/>
    <n v="126.87"/>
    <n v="78240000"/>
    <x v="0"/>
  </r>
  <r>
    <s v="S224"/>
    <x v="1"/>
    <s v="Synthetic Title 224"/>
    <s v="Ava Duvernay"/>
    <s v="Brad Pitt, Leonardo Dicaprio, Morgan Freeman"/>
    <x v="4"/>
    <x v="216"/>
    <x v="8"/>
    <x v="0"/>
    <x v="18"/>
    <x v="1"/>
    <x v="2"/>
    <n v="7.1"/>
    <n v="21.19"/>
    <n v="49589000"/>
    <x v="1"/>
  </r>
  <r>
    <s v="S225"/>
    <x v="1"/>
    <s v="Synthetic Title 225"/>
    <s v="Ava Duvernay"/>
    <s v="Viola Davis, Brad Pitt"/>
    <x v="7"/>
    <x v="74"/>
    <x v="24"/>
    <x v="1"/>
    <x v="1"/>
    <x v="1"/>
    <x v="2"/>
    <n v="3"/>
    <n v="40.46"/>
    <n v="46923000"/>
    <x v="0"/>
  </r>
  <r>
    <s v="S226"/>
    <x v="1"/>
    <s v="Synthetic Title 226"/>
    <s v="Ava Duvernay"/>
    <s v="Unassigned"/>
    <x v="5"/>
    <x v="217"/>
    <x v="20"/>
    <x v="2"/>
    <x v="83"/>
    <x v="1"/>
    <x v="4"/>
    <n v="8.5"/>
    <n v="4.3600000000000003"/>
    <n v="62275000"/>
    <x v="0"/>
  </r>
  <r>
    <s v="S227"/>
    <x v="1"/>
    <s v="Synthetic Title 227"/>
    <s v="Unassigned"/>
    <s v="Tom Hanks, Brad Pitt"/>
    <x v="1"/>
    <x v="218"/>
    <x v="18"/>
    <x v="3"/>
    <x v="11"/>
    <x v="1"/>
    <x v="0"/>
    <n v="2.6"/>
    <n v="135.59"/>
    <n v="40132000"/>
    <x v="1"/>
  </r>
  <r>
    <s v="S228"/>
    <x v="0"/>
    <s v="Synthetic Title 228"/>
    <s v="Steven Spielberg"/>
    <s v="Morgan Freeman, Brad Pitt"/>
    <x v="0"/>
    <x v="219"/>
    <x v="1"/>
    <x v="2"/>
    <x v="4"/>
    <x v="0"/>
    <x v="5"/>
    <n v="3.8"/>
    <n v="24.42"/>
    <n v="13824000"/>
    <x v="0"/>
  </r>
  <r>
    <s v="S229"/>
    <x v="0"/>
    <s v="Synthetic Title 229"/>
    <s v="Unassigned"/>
    <s v="Zendaya, Viola Davis"/>
    <x v="6"/>
    <x v="220"/>
    <x v="30"/>
    <x v="3"/>
    <x v="10"/>
    <x v="0"/>
    <x v="5"/>
    <n v="2.2000000000000002"/>
    <n v="24.02"/>
    <n v="13665000"/>
    <x v="0"/>
  </r>
  <r>
    <s v="S230"/>
    <x v="0"/>
    <s v="Synthetic Title 230"/>
    <s v="Greta Gerwig"/>
    <s v="Scarlett Johansson, Morgan Freeman"/>
    <x v="7"/>
    <x v="221"/>
    <x v="5"/>
    <x v="0"/>
    <x v="7"/>
    <x v="0"/>
    <x v="3"/>
    <n v="7.7"/>
    <n v="25.61"/>
    <n v="60858000"/>
    <x v="0"/>
  </r>
  <r>
    <s v="S231"/>
    <x v="0"/>
    <s v="Synthetic Title 231"/>
    <s v="Ava Duvernay"/>
    <s v="Tom Hanks, Morgan Freeman, Brad Pitt"/>
    <x v="0"/>
    <x v="222"/>
    <x v="31"/>
    <x v="3"/>
    <x v="7"/>
    <x v="0"/>
    <x v="0"/>
    <n v="5.0999999999999996"/>
    <n v="0.55000000000000004"/>
    <n v="23705000"/>
    <x v="0"/>
  </r>
  <r>
    <s v="S232"/>
    <x v="1"/>
    <s v="Synthetic Title 232"/>
    <s v="Greta Gerwig"/>
    <s v="Viola Davis, Brad Pitt, Tom Hanks"/>
    <x v="3"/>
    <x v="223"/>
    <x v="17"/>
    <x v="4"/>
    <x v="84"/>
    <x v="1"/>
    <x v="3"/>
    <n v="999"/>
    <n v="16.66"/>
    <n v="5958000"/>
    <x v="1"/>
  </r>
  <r>
    <s v="S233"/>
    <x v="1"/>
    <s v="Synthetic Title 233"/>
    <s v="Greta Gerwig"/>
    <s v="Scarlett Johansson, Leonardo Dicaprio"/>
    <x v="2"/>
    <x v="224"/>
    <x v="30"/>
    <x v="0"/>
    <x v="85"/>
    <x v="1"/>
    <x v="3"/>
    <n v="6.9"/>
    <n v="60.79"/>
    <n v="97226000"/>
    <x v="0"/>
  </r>
  <r>
    <s v="S234"/>
    <x v="1"/>
    <s v="Synthetic Title 234"/>
    <s v="Ava Duvernay"/>
    <s v="Scarlett Johansson, Brad Pitt, Viola Davis"/>
    <x v="7"/>
    <x v="225"/>
    <x v="9"/>
    <x v="0"/>
    <x v="71"/>
    <x v="1"/>
    <x v="4"/>
    <n v="5.5"/>
    <n v="130.94999999999999"/>
    <n v="25728000"/>
    <x v="1"/>
  </r>
  <r>
    <s v="S235"/>
    <x v="1"/>
    <s v="Synthetic Title 235"/>
    <s v="Unassigned"/>
    <s v="Leonardo Dicaprio"/>
    <x v="5"/>
    <x v="226"/>
    <x v="29"/>
    <x v="1"/>
    <x v="86"/>
    <x v="1"/>
    <x v="0"/>
    <n v="6.3"/>
    <n v="54.31"/>
    <n v="9728000"/>
    <x v="1"/>
  </r>
  <r>
    <s v="S236"/>
    <x v="1"/>
    <s v="Synthetic Title 236"/>
    <s v="Ava Duvernay"/>
    <s v="Leonardo Dicaprio"/>
    <x v="4"/>
    <x v="227"/>
    <x v="22"/>
    <x v="0"/>
    <x v="6"/>
    <x v="1"/>
    <x v="4"/>
    <n v="6.9"/>
    <n v="36.92"/>
    <n v="62223000"/>
    <x v="1"/>
  </r>
  <r>
    <s v="S237"/>
    <x v="1"/>
    <s v="Synthetic Title 237"/>
    <s v="Bong Joon Ho"/>
    <s v="Scarlett Johansson"/>
    <x v="0"/>
    <x v="228"/>
    <x v="0"/>
    <x v="0"/>
    <x v="87"/>
    <x v="1"/>
    <x v="3"/>
    <n v="1.5"/>
    <n v="52.84"/>
    <n v="15683000"/>
    <x v="1"/>
  </r>
  <r>
    <s v="S238"/>
    <x v="1"/>
    <s v="Synthetic Title 238"/>
    <s v="Bong Joon Ho"/>
    <s v="Unassigned"/>
    <x v="3"/>
    <x v="229"/>
    <x v="16"/>
    <x v="0"/>
    <x v="41"/>
    <x v="1"/>
    <x v="2"/>
    <n v="5.7"/>
    <n v="93.22"/>
    <n v="50449000"/>
    <x v="0"/>
  </r>
  <r>
    <s v="S239"/>
    <x v="1"/>
    <s v="Synthetic Title 239"/>
    <s v="Unassigned"/>
    <s v="Zendaya, Viola Davis"/>
    <x v="7"/>
    <x v="230"/>
    <x v="11"/>
    <x v="0"/>
    <x v="72"/>
    <x v="1"/>
    <x v="3"/>
    <n v="3"/>
    <n v="61.67"/>
    <n v="41292000"/>
    <x v="1"/>
  </r>
  <r>
    <s v="S240"/>
    <x v="0"/>
    <s v="Synthetic Title 240"/>
    <s v="Steven Spielberg"/>
    <s v="Zendaya"/>
    <x v="0"/>
    <x v="231"/>
    <x v="19"/>
    <x v="0"/>
    <x v="2"/>
    <x v="0"/>
    <x v="1"/>
    <n v="7.4"/>
    <n v="69.47"/>
    <n v="4472000"/>
    <x v="1"/>
  </r>
  <r>
    <s v="S241"/>
    <x v="1"/>
    <s v="Synthetic Title 241"/>
    <s v="Christopher Nolan"/>
    <s v="Scarlett Johansson, Viola Davis"/>
    <x v="1"/>
    <x v="232"/>
    <x v="10"/>
    <x v="3"/>
    <x v="88"/>
    <x v="1"/>
    <x v="4"/>
    <n v="2.2999999999999998"/>
    <n v="123.6"/>
    <n v="30967000"/>
    <x v="0"/>
  </r>
  <r>
    <s v="S242"/>
    <x v="0"/>
    <s v="Synthetic Title 242"/>
    <s v="Bong Joon Ho"/>
    <s v="Zendaya"/>
    <x v="0"/>
    <x v="233"/>
    <x v="12"/>
    <x v="4"/>
    <x v="4"/>
    <x v="0"/>
    <x v="5"/>
    <n v="5.8"/>
    <n v="30.04"/>
    <n v="18206000"/>
    <x v="1"/>
  </r>
  <r>
    <s v="S243"/>
    <x v="0"/>
    <s v="Synthetic Title 243"/>
    <s v="Martin Scorsese"/>
    <s v="Zendaya"/>
    <x v="4"/>
    <x v="234"/>
    <x v="3"/>
    <x v="0"/>
    <x v="4"/>
    <x v="0"/>
    <x v="2"/>
    <n v="8.8000000000000007"/>
    <n v="1"/>
    <n v="58113000"/>
    <x v="1"/>
  </r>
  <r>
    <s v="S244"/>
    <x v="1"/>
    <s v="Synthetic Title 244"/>
    <s v="Bong Joon Ho"/>
    <s v="Morgan Freeman, Zendaya, Viola Davis"/>
    <x v="4"/>
    <x v="235"/>
    <x v="8"/>
    <x v="5"/>
    <x v="16"/>
    <x v="1"/>
    <x v="0"/>
    <n v="4.2"/>
    <n v="3.87"/>
    <n v="13604000"/>
    <x v="0"/>
  </r>
  <r>
    <s v="S245"/>
    <x v="1"/>
    <s v="Synthetic Title 245"/>
    <s v="Bong Joon Ho"/>
    <s v="Morgan Freeman"/>
    <x v="7"/>
    <x v="236"/>
    <x v="25"/>
    <x v="2"/>
    <x v="67"/>
    <x v="1"/>
    <x v="0"/>
    <n v="2.2999999999999998"/>
    <n v="42.46"/>
    <n v="33876000"/>
    <x v="0"/>
  </r>
  <r>
    <s v="S246"/>
    <x v="1"/>
    <s v="Synthetic Title 246"/>
    <s v="Steven Spielberg"/>
    <s v="Scarlett Johansson, Tom Hanks, Zendaya"/>
    <x v="6"/>
    <x v="237"/>
    <x v="32"/>
    <x v="3"/>
    <x v="89"/>
    <x v="1"/>
    <x v="1"/>
    <n v="5.9"/>
    <n v="123.52"/>
    <n v="58706000"/>
    <x v="1"/>
  </r>
  <r>
    <s v="S247"/>
    <x v="1"/>
    <s v="Synthetic Title 247"/>
    <s v="Greta Gerwig"/>
    <s v="Zendaya, Tom Hanks, Brad Pitt"/>
    <x v="3"/>
    <x v="238"/>
    <x v="30"/>
    <x v="2"/>
    <x v="53"/>
    <x v="1"/>
    <x v="0"/>
    <n v="8.9"/>
    <n v="143.6"/>
    <n v="4221000"/>
    <x v="0"/>
  </r>
  <r>
    <s v="S248"/>
    <x v="1"/>
    <s v="Synthetic Title 248"/>
    <s v="Bong Joon Ho"/>
    <s v="Brad Pitt"/>
    <x v="3"/>
    <x v="239"/>
    <x v="1"/>
    <x v="1"/>
    <x v="90"/>
    <x v="1"/>
    <x v="2"/>
    <n v="5.6"/>
    <n v="122.47"/>
    <n v="38946000"/>
    <x v="1"/>
  </r>
  <r>
    <s v="S249"/>
    <x v="1"/>
    <s v="Synthetic Title 249"/>
    <s v="Unassigned"/>
    <s v="Leonardo Dicaprio, Scarlett Johansson, Tom Hanks"/>
    <x v="7"/>
    <x v="240"/>
    <x v="9"/>
    <x v="3"/>
    <x v="67"/>
    <x v="1"/>
    <x v="2"/>
    <n v="1.7"/>
    <n v="62.18"/>
    <n v="15297000"/>
    <x v="1"/>
  </r>
  <r>
    <s v="S250"/>
    <x v="1"/>
    <s v="Synthetic Title 250"/>
    <s v="Christopher Nolan"/>
    <s v="Scarlett Johansson, Viola Davis, Morgan Freeman"/>
    <x v="7"/>
    <x v="241"/>
    <x v="3"/>
    <x v="0"/>
    <x v="65"/>
    <x v="1"/>
    <x v="3"/>
    <n v="9.6999999999999993"/>
    <n v="145.46"/>
    <n v="8223000"/>
    <x v="0"/>
  </r>
  <r>
    <s v="S251"/>
    <x v="0"/>
    <s v="Synthetic Title 251"/>
    <s v="Unassigned"/>
    <s v="Scarlett Johansson"/>
    <x v="6"/>
    <x v="242"/>
    <x v="1"/>
    <x v="1"/>
    <x v="0"/>
    <x v="0"/>
    <x v="0"/>
    <n v="9.5"/>
    <n v="76.92"/>
    <n v="39983000"/>
    <x v="0"/>
  </r>
  <r>
    <s v="S252"/>
    <x v="1"/>
    <s v="Synthetic Title 252"/>
    <s v="Greta Gerwig"/>
    <s v="Brad Pitt"/>
    <x v="4"/>
    <x v="243"/>
    <x v="24"/>
    <x v="3"/>
    <x v="44"/>
    <x v="1"/>
    <x v="0"/>
    <n v="5.4"/>
    <n v="32.369999999999997"/>
    <n v="4877000"/>
    <x v="0"/>
  </r>
  <r>
    <s v="S253"/>
    <x v="0"/>
    <s v="Synthetic Title 253"/>
    <s v="Ava Duvernay"/>
    <s v="Zendaya"/>
    <x v="7"/>
    <x v="244"/>
    <x v="33"/>
    <x v="2"/>
    <x v="10"/>
    <x v="0"/>
    <x v="2"/>
    <n v="9"/>
    <n v="28.26"/>
    <n v="96417000"/>
    <x v="0"/>
  </r>
  <r>
    <s v="S254"/>
    <x v="1"/>
    <s v="Synthetic Title 254"/>
    <s v="Christopher Nolan"/>
    <s v="Scarlett Johansson, Brad Pitt, Zendaya"/>
    <x v="7"/>
    <x v="245"/>
    <x v="2"/>
    <x v="2"/>
    <x v="38"/>
    <x v="1"/>
    <x v="3"/>
    <n v="6.5"/>
    <n v="69.739999999999995"/>
    <n v="70298000"/>
    <x v="1"/>
  </r>
  <r>
    <s v="S255"/>
    <x v="1"/>
    <s v="Synthetic Title 255"/>
    <s v="Christopher Nolan"/>
    <s v="Leonardo Dicaprio, Zendaya, Viola Davis"/>
    <x v="6"/>
    <x v="246"/>
    <x v="7"/>
    <x v="1"/>
    <x v="45"/>
    <x v="1"/>
    <x v="3"/>
    <n v="3.3"/>
    <n v="54.44"/>
    <n v="70734000"/>
    <x v="0"/>
  </r>
  <r>
    <s v="S256"/>
    <x v="1"/>
    <s v="Synthetic Title 256"/>
    <s v="Steven Spielberg"/>
    <s v="Unassigned"/>
    <x v="1"/>
    <x v="247"/>
    <x v="8"/>
    <x v="3"/>
    <x v="91"/>
    <x v="1"/>
    <x v="4"/>
    <n v="7"/>
    <n v="87.58"/>
    <n v="41746000"/>
    <x v="1"/>
  </r>
  <r>
    <s v="S257"/>
    <x v="0"/>
    <s v="Synthetic Title 257"/>
    <s v="Greta Gerwig"/>
    <s v="Zendaya, Brad Pitt, Leonardo Dicaprio"/>
    <x v="0"/>
    <x v="248"/>
    <x v="33"/>
    <x v="5"/>
    <x v="7"/>
    <x v="0"/>
    <x v="0"/>
    <n v="3.3"/>
    <n v="79.41"/>
    <n v="93907000"/>
    <x v="0"/>
  </r>
  <r>
    <s v="S258"/>
    <x v="1"/>
    <s v="Synthetic Title 258"/>
    <s v="Steven Spielberg"/>
    <s v="Morgan Freeman, Scarlett Johansson"/>
    <x v="0"/>
    <x v="249"/>
    <x v="1"/>
    <x v="0"/>
    <x v="68"/>
    <x v="1"/>
    <x v="0"/>
    <n v="3.9"/>
    <n v="46.95"/>
    <n v="52620000"/>
    <x v="1"/>
  </r>
  <r>
    <s v="S259"/>
    <x v="1"/>
    <s v="Synthetic Title 259"/>
    <s v="Bong Joon Ho"/>
    <s v="Brad Pitt, Scarlett Johansson, Leonardo Dicaprio"/>
    <x v="6"/>
    <x v="250"/>
    <x v="12"/>
    <x v="4"/>
    <x v="33"/>
    <x v="1"/>
    <x v="4"/>
    <n v="4.0999999999999996"/>
    <n v="116.5"/>
    <n v="56364000"/>
    <x v="0"/>
  </r>
  <r>
    <s v="S260"/>
    <x v="0"/>
    <s v="Synthetic Title 260"/>
    <s v="Unassigned"/>
    <s v="Tom Hanks, Brad Pitt, Zendaya"/>
    <x v="3"/>
    <x v="251"/>
    <x v="9"/>
    <x v="4"/>
    <x v="2"/>
    <x v="0"/>
    <x v="2"/>
    <n v="4.0999999999999996"/>
    <n v="91.58"/>
    <n v="86848000"/>
    <x v="0"/>
  </r>
  <r>
    <s v="S261"/>
    <x v="1"/>
    <s v="Synthetic Title 261"/>
    <s v="Unassigned"/>
    <s v="Morgan Freeman"/>
    <x v="7"/>
    <x v="252"/>
    <x v="15"/>
    <x v="1"/>
    <x v="45"/>
    <x v="1"/>
    <x v="1"/>
    <n v="5.5"/>
    <n v="127.26"/>
    <n v="83541000"/>
    <x v="0"/>
  </r>
  <r>
    <s v="S262"/>
    <x v="1"/>
    <s v="Synthetic Title 262"/>
    <s v="Ava Duvernay"/>
    <s v="Viola Davis, Morgan Freeman"/>
    <x v="7"/>
    <x v="253"/>
    <x v="2"/>
    <x v="4"/>
    <x v="72"/>
    <x v="1"/>
    <x v="0"/>
    <n v="8.1"/>
    <n v="42.57"/>
    <n v="52646000"/>
    <x v="0"/>
  </r>
  <r>
    <s v="S263"/>
    <x v="1"/>
    <s v="Synthetic Title 263"/>
    <s v="Unassigned"/>
    <s v="Tom Hanks, Scarlett Johansson"/>
    <x v="7"/>
    <x v="254"/>
    <x v="28"/>
    <x v="0"/>
    <x v="60"/>
    <x v="1"/>
    <x v="4"/>
    <n v="7.9"/>
    <n v="17.55"/>
    <n v="96494000"/>
    <x v="1"/>
  </r>
  <r>
    <s v="S264"/>
    <x v="1"/>
    <s v="Synthetic Title 264"/>
    <s v="Unassigned"/>
    <s v="Morgan Freeman"/>
    <x v="1"/>
    <x v="255"/>
    <x v="28"/>
    <x v="2"/>
    <x v="24"/>
    <x v="1"/>
    <x v="1"/>
    <n v="8.9"/>
    <n v="99.69"/>
    <n v="88174000"/>
    <x v="1"/>
  </r>
  <r>
    <s v="S265"/>
    <x v="0"/>
    <s v="Synthetic Title 265"/>
    <s v="Ava Duvernay"/>
    <s v="Brad Pitt"/>
    <x v="6"/>
    <x v="207"/>
    <x v="2"/>
    <x v="2"/>
    <x v="26"/>
    <x v="0"/>
    <x v="3"/>
    <n v="9.5"/>
    <n v="61.48"/>
    <n v="42976000"/>
    <x v="0"/>
  </r>
  <r>
    <s v="S266"/>
    <x v="0"/>
    <s v="Synthetic Title 266"/>
    <s v="Steven Spielberg"/>
    <s v="Brad Pitt, Scarlett Johansson"/>
    <x v="6"/>
    <x v="82"/>
    <x v="2"/>
    <x v="3"/>
    <x v="15"/>
    <x v="0"/>
    <x v="1"/>
    <n v="2.7"/>
    <n v="138.55000000000001"/>
    <n v="78595000"/>
    <x v="1"/>
  </r>
  <r>
    <s v="S267"/>
    <x v="0"/>
    <s v="Synthetic Title 267"/>
    <s v="Greta Gerwig"/>
    <s v="Tom Hanks, Brad Pitt"/>
    <x v="6"/>
    <x v="256"/>
    <x v="8"/>
    <x v="4"/>
    <x v="4"/>
    <x v="0"/>
    <x v="4"/>
    <n v="5.0999999999999996"/>
    <n v="133.31"/>
    <n v="84969000"/>
    <x v="0"/>
  </r>
  <r>
    <s v="S268"/>
    <x v="1"/>
    <s v="Synthetic Title 268"/>
    <s v="Christopher Nolan"/>
    <s v="Tom Hanks, Scarlett Johansson"/>
    <x v="4"/>
    <x v="257"/>
    <x v="32"/>
    <x v="4"/>
    <x v="92"/>
    <x v="1"/>
    <x v="5"/>
    <n v="2.9"/>
    <n v="128.66"/>
    <n v="73910000"/>
    <x v="1"/>
  </r>
  <r>
    <s v="S269"/>
    <x v="1"/>
    <s v="Synthetic Title 269"/>
    <s v="Christopher Nolan"/>
    <s v="Brad Pitt"/>
    <x v="0"/>
    <x v="258"/>
    <x v="12"/>
    <x v="4"/>
    <x v="71"/>
    <x v="1"/>
    <x v="0"/>
    <n v="2.4"/>
    <n v="124.61"/>
    <n v="40810000"/>
    <x v="0"/>
  </r>
  <r>
    <s v="S270"/>
    <x v="0"/>
    <s v="Synthetic Title 270"/>
    <s v="Christopher Nolan"/>
    <s v="Unassigned"/>
    <x v="3"/>
    <x v="259"/>
    <x v="8"/>
    <x v="0"/>
    <x v="7"/>
    <x v="0"/>
    <x v="1"/>
    <n v="6"/>
    <n v="148.4"/>
    <n v="51911000"/>
    <x v="0"/>
  </r>
  <r>
    <s v="S271"/>
    <x v="1"/>
    <s v="Synthetic Title 271"/>
    <s v="Unassigned"/>
    <s v="Scarlett Johansson"/>
    <x v="6"/>
    <x v="260"/>
    <x v="18"/>
    <x v="3"/>
    <x v="82"/>
    <x v="1"/>
    <x v="2"/>
    <n v="9.3000000000000007"/>
    <n v="43.09"/>
    <n v="38263000"/>
    <x v="0"/>
  </r>
  <r>
    <s v="S272"/>
    <x v="0"/>
    <s v="Synthetic Title 272"/>
    <s v="Ava Duvernay"/>
    <s v="Tom Hanks, Scarlett Johansson, Zendaya"/>
    <x v="0"/>
    <x v="261"/>
    <x v="26"/>
    <x v="4"/>
    <x v="0"/>
    <x v="0"/>
    <x v="4"/>
    <n v="4.7"/>
    <n v="66.430000000000007"/>
    <n v="53108000"/>
    <x v="0"/>
  </r>
  <r>
    <s v="S273"/>
    <x v="1"/>
    <s v="Synthetic Title 273"/>
    <s v="Unassigned"/>
    <s v="Viola Davis, Leonardo Dicaprio"/>
    <x v="7"/>
    <x v="262"/>
    <x v="4"/>
    <x v="4"/>
    <x v="93"/>
    <x v="1"/>
    <x v="0"/>
    <n v="5.4"/>
    <n v="80.8"/>
    <n v="17434000"/>
    <x v="0"/>
  </r>
  <r>
    <s v="S274"/>
    <x v="0"/>
    <s v="Synthetic Title 274"/>
    <s v="Unassigned"/>
    <s v="Zendaya"/>
    <x v="1"/>
    <x v="263"/>
    <x v="29"/>
    <x v="5"/>
    <x v="4"/>
    <x v="0"/>
    <x v="5"/>
    <n v="6.8"/>
    <n v="137.58000000000001"/>
    <n v="96386000"/>
    <x v="1"/>
  </r>
  <r>
    <s v="S275"/>
    <x v="1"/>
    <s v="Synthetic Title 275"/>
    <s v="Christopher Nolan"/>
    <s v="Leonardo Dicaprio, Tom Hanks"/>
    <x v="1"/>
    <x v="4"/>
    <x v="17"/>
    <x v="3"/>
    <x v="78"/>
    <x v="1"/>
    <x v="2"/>
    <n v="7.9"/>
    <n v="103.93"/>
    <n v="23710000"/>
    <x v="1"/>
  </r>
  <r>
    <s v="S276"/>
    <x v="0"/>
    <s v="Synthetic Title 276"/>
    <s v="Unassigned"/>
    <s v="Scarlett Johansson"/>
    <x v="2"/>
    <x v="264"/>
    <x v="17"/>
    <x v="3"/>
    <x v="29"/>
    <x v="0"/>
    <x v="5"/>
    <n v="1.8"/>
    <n v="34.17"/>
    <n v="23713000"/>
    <x v="0"/>
  </r>
  <r>
    <s v="S277"/>
    <x v="1"/>
    <s v="Synthetic Title 277"/>
    <s v="Greta Gerwig"/>
    <s v="Leonardo Dicaprio, Viola Davis, Morgan Freeman"/>
    <x v="2"/>
    <x v="184"/>
    <x v="3"/>
    <x v="4"/>
    <x v="94"/>
    <x v="1"/>
    <x v="3"/>
    <n v="7.6"/>
    <n v="30.49"/>
    <n v="53859000"/>
    <x v="1"/>
  </r>
  <r>
    <s v="S278"/>
    <x v="1"/>
    <s v="Synthetic Title 278"/>
    <s v="Martin Scorsese"/>
    <s v="Scarlett Johansson"/>
    <x v="3"/>
    <x v="265"/>
    <x v="27"/>
    <x v="0"/>
    <x v="38"/>
    <x v="1"/>
    <x v="0"/>
    <n v="1.1000000000000001"/>
    <n v="96.6"/>
    <n v="27414000"/>
    <x v="1"/>
  </r>
  <r>
    <s v="S279"/>
    <x v="0"/>
    <s v="Synthetic Title 279"/>
    <s v="Ava Duvernay"/>
    <s v="Scarlett Johansson, Tom Hanks"/>
    <x v="4"/>
    <x v="266"/>
    <x v="32"/>
    <x v="3"/>
    <x v="9"/>
    <x v="0"/>
    <x v="1"/>
    <n v="2.4"/>
    <n v="9.91"/>
    <n v="20326000"/>
    <x v="1"/>
  </r>
  <r>
    <s v="S280"/>
    <x v="0"/>
    <s v="Synthetic Title 280"/>
    <s v="Ava Duvernay"/>
    <s v="Viola Davis, Leonardo Dicaprio"/>
    <x v="5"/>
    <x v="267"/>
    <x v="7"/>
    <x v="0"/>
    <x v="2"/>
    <x v="0"/>
    <x v="4"/>
    <n v="6.9"/>
    <n v="46.81"/>
    <n v="30783000"/>
    <x v="0"/>
  </r>
  <r>
    <s v="S281"/>
    <x v="1"/>
    <s v="Synthetic Title 281"/>
    <s v="Greta Gerwig"/>
    <s v="Unassigned"/>
    <x v="1"/>
    <x v="268"/>
    <x v="7"/>
    <x v="5"/>
    <x v="16"/>
    <x v="1"/>
    <x v="1"/>
    <n v="8.3000000000000007"/>
    <n v="88.7"/>
    <n v="78875000"/>
    <x v="0"/>
  </r>
  <r>
    <s v="S282"/>
    <x v="0"/>
    <s v="Synthetic Title 282"/>
    <s v="Unassigned"/>
    <s v="Scarlett Johansson"/>
    <x v="3"/>
    <x v="204"/>
    <x v="3"/>
    <x v="1"/>
    <x v="29"/>
    <x v="0"/>
    <x v="2"/>
    <n v="4.4000000000000004"/>
    <n v="114.17"/>
    <n v="80684000"/>
    <x v="0"/>
  </r>
  <r>
    <s v="S283"/>
    <x v="0"/>
    <s v="Synthetic Title 283"/>
    <s v="Ava Duvernay"/>
    <s v="Zendaya"/>
    <x v="0"/>
    <x v="269"/>
    <x v="32"/>
    <x v="4"/>
    <x v="10"/>
    <x v="0"/>
    <x v="4"/>
    <n v="3.8"/>
    <n v="86.25"/>
    <n v="82612000"/>
    <x v="0"/>
  </r>
  <r>
    <s v="S284"/>
    <x v="1"/>
    <s v="Synthetic Title 284"/>
    <s v="Greta Gerwig"/>
    <s v="Viola Davis, Scarlett Johansson"/>
    <x v="3"/>
    <x v="270"/>
    <x v="25"/>
    <x v="3"/>
    <x v="62"/>
    <x v="1"/>
    <x v="5"/>
    <n v="2.9"/>
    <n v="16.93"/>
    <n v="6660000"/>
    <x v="1"/>
  </r>
  <r>
    <s v="S285"/>
    <x v="1"/>
    <s v="Synthetic Title 285"/>
    <s v="Bong Joon Ho"/>
    <s v="Morgan Freeman, Viola Davis"/>
    <x v="2"/>
    <x v="271"/>
    <x v="6"/>
    <x v="0"/>
    <x v="95"/>
    <x v="1"/>
    <x v="2"/>
    <n v="5.6"/>
    <n v="84"/>
    <n v="32915000"/>
    <x v="1"/>
  </r>
  <r>
    <s v="S286"/>
    <x v="0"/>
    <s v="Synthetic Title 286"/>
    <s v="Steven Spielberg"/>
    <s v="Scarlett Johansson, Brad Pitt"/>
    <x v="2"/>
    <x v="272"/>
    <x v="4"/>
    <x v="2"/>
    <x v="2"/>
    <x v="0"/>
    <x v="1"/>
    <n v="2.2999999999999998"/>
    <n v="20.23"/>
    <n v="36327000"/>
    <x v="0"/>
  </r>
  <r>
    <s v="S287"/>
    <x v="0"/>
    <s v="Synthetic Title 287"/>
    <s v="Martin Scorsese"/>
    <s v="Unassigned"/>
    <x v="0"/>
    <x v="273"/>
    <x v="29"/>
    <x v="4"/>
    <x v="10"/>
    <x v="0"/>
    <x v="3"/>
    <n v="4"/>
    <n v="133.26"/>
    <n v="31710000"/>
    <x v="1"/>
  </r>
  <r>
    <s v="S288"/>
    <x v="1"/>
    <s v="Synthetic Title 288"/>
    <s v="Unassigned"/>
    <s v="Tom Hanks, Viola Davis, Zendaya"/>
    <x v="1"/>
    <x v="274"/>
    <x v="9"/>
    <x v="4"/>
    <x v="65"/>
    <x v="1"/>
    <x v="0"/>
    <n v="6.1"/>
    <n v="75.819999999999993"/>
    <n v="16891000"/>
    <x v="1"/>
  </r>
  <r>
    <s v="S289"/>
    <x v="1"/>
    <s v="Synthetic Title 289"/>
    <s v="Steven Spielberg"/>
    <s v="Viola Davis, Tom Hanks, Morgan Freeman"/>
    <x v="5"/>
    <x v="275"/>
    <x v="17"/>
    <x v="4"/>
    <x v="31"/>
    <x v="1"/>
    <x v="0"/>
    <n v="8.9"/>
    <n v="60.64"/>
    <n v="99419000"/>
    <x v="0"/>
  </r>
  <r>
    <s v="S290"/>
    <x v="0"/>
    <s v="Synthetic Title 290"/>
    <s v="Ava Duvernay"/>
    <s v="Scarlett Johansson, Leonardo Dicaprio, Zendaya"/>
    <x v="5"/>
    <x v="276"/>
    <x v="24"/>
    <x v="1"/>
    <x v="4"/>
    <x v="0"/>
    <x v="1"/>
    <n v="3.3"/>
    <n v="27.8"/>
    <n v="75309000"/>
    <x v="1"/>
  </r>
  <r>
    <s v="S291"/>
    <x v="1"/>
    <s v="Synthetic Title 291"/>
    <s v="Unassigned"/>
    <s v="Leonardo Dicaprio"/>
    <x v="2"/>
    <x v="277"/>
    <x v="9"/>
    <x v="5"/>
    <x v="82"/>
    <x v="1"/>
    <x v="5"/>
    <n v="1.7"/>
    <n v="112"/>
    <n v="73955000"/>
    <x v="0"/>
  </r>
  <r>
    <s v="S292"/>
    <x v="0"/>
    <s v="Synthetic Title 292"/>
    <s v="Unassigned"/>
    <s v="Zendaya, Viola Davis"/>
    <x v="1"/>
    <x v="278"/>
    <x v="25"/>
    <x v="4"/>
    <x v="15"/>
    <x v="0"/>
    <x v="5"/>
    <n v="3.5"/>
    <n v="98.68"/>
    <n v="47656000"/>
    <x v="1"/>
  </r>
  <r>
    <s v="S293"/>
    <x v="0"/>
    <s v="Synthetic Title 293"/>
    <s v="Christopher Nolan"/>
    <s v="Scarlett Johansson"/>
    <x v="0"/>
    <x v="279"/>
    <x v="31"/>
    <x v="2"/>
    <x v="7"/>
    <x v="0"/>
    <x v="3"/>
    <n v="4.4000000000000004"/>
    <n v="89.53"/>
    <n v="15675000"/>
    <x v="0"/>
  </r>
  <r>
    <s v="S294"/>
    <x v="0"/>
    <s v="Synthetic Title 294"/>
    <s v="Martin Scorsese"/>
    <s v="Unassigned"/>
    <x v="7"/>
    <x v="280"/>
    <x v="9"/>
    <x v="2"/>
    <x v="15"/>
    <x v="0"/>
    <x v="5"/>
    <n v="8.1999999999999993"/>
    <n v="38.56"/>
    <n v="99199000"/>
    <x v="0"/>
  </r>
  <r>
    <s v="S295"/>
    <x v="1"/>
    <s v="Synthetic Title 295"/>
    <s v="Unassigned"/>
    <s v="Unassigned"/>
    <x v="5"/>
    <x v="281"/>
    <x v="31"/>
    <x v="4"/>
    <x v="96"/>
    <x v="1"/>
    <x v="4"/>
    <n v="7.7"/>
    <n v="110.29"/>
    <n v="88646000"/>
    <x v="0"/>
  </r>
  <r>
    <s v="S296"/>
    <x v="1"/>
    <s v="Synthetic Title 296"/>
    <s v="Bong Joon Ho"/>
    <s v="Scarlett Johansson"/>
    <x v="2"/>
    <x v="282"/>
    <x v="5"/>
    <x v="4"/>
    <x v="97"/>
    <x v="1"/>
    <x v="0"/>
    <n v="3.1"/>
    <n v="104.37"/>
    <n v="37131000"/>
    <x v="0"/>
  </r>
  <r>
    <s v="S297"/>
    <x v="1"/>
    <s v="Synthetic Title 297"/>
    <s v="Steven Spielberg"/>
    <s v="Brad Pitt"/>
    <x v="2"/>
    <x v="283"/>
    <x v="32"/>
    <x v="2"/>
    <x v="84"/>
    <x v="1"/>
    <x v="0"/>
    <n v="4.2"/>
    <n v="82.28"/>
    <n v="50478000"/>
    <x v="1"/>
  </r>
  <r>
    <s v="S298"/>
    <x v="0"/>
    <s v="Synthetic Title 298"/>
    <s v="Greta Gerwig"/>
    <s v="Leonardo Dicaprio, Scarlett Johansson, Brad Pitt"/>
    <x v="3"/>
    <x v="284"/>
    <x v="1"/>
    <x v="5"/>
    <x v="0"/>
    <x v="0"/>
    <x v="2"/>
    <n v="6.7"/>
    <n v="110.83"/>
    <n v="71516000"/>
    <x v="0"/>
  </r>
  <r>
    <s v="S299"/>
    <x v="0"/>
    <s v="Synthetic Title 299"/>
    <s v="Bong Joon Ho"/>
    <s v="Leonardo Dicaprio"/>
    <x v="3"/>
    <x v="285"/>
    <x v="17"/>
    <x v="5"/>
    <x v="9"/>
    <x v="0"/>
    <x v="0"/>
    <n v="6.2"/>
    <n v="83.97"/>
    <n v="85426000"/>
    <x v="1"/>
  </r>
  <r>
    <s v="S300"/>
    <x v="1"/>
    <s v="Synthetic Title 300"/>
    <s v="Ava Duvernay"/>
    <s v="Zendaya, Tom Hanks, Brad Pitt"/>
    <x v="6"/>
    <x v="286"/>
    <x v="20"/>
    <x v="5"/>
    <x v="68"/>
    <x v="1"/>
    <x v="0"/>
    <n v="2.9"/>
    <n v="77.36"/>
    <n v="19249000"/>
    <x v="0"/>
  </r>
  <r>
    <s v="S301"/>
    <x v="1"/>
    <s v="Synthetic Title 301"/>
    <s v="Unassigned"/>
    <s v="Scarlett Johansson, Tom Hanks, Morgan Freeman"/>
    <x v="0"/>
    <x v="287"/>
    <x v="23"/>
    <x v="1"/>
    <x v="70"/>
    <x v="1"/>
    <x v="4"/>
    <n v="999"/>
    <n v="100.73"/>
    <n v="15887000"/>
    <x v="1"/>
  </r>
  <r>
    <s v="S302"/>
    <x v="1"/>
    <s v="Synthetic Title 302"/>
    <s v="Steven Spielberg"/>
    <s v="Scarlett Johansson, Tom Hanks, Zendaya"/>
    <x v="4"/>
    <x v="288"/>
    <x v="9"/>
    <x v="3"/>
    <x v="97"/>
    <x v="1"/>
    <x v="2"/>
    <n v="9"/>
    <n v="99.73"/>
    <n v="97599000"/>
    <x v="1"/>
  </r>
  <r>
    <s v="S303"/>
    <x v="1"/>
    <s v="Synthetic Title 303"/>
    <s v="Christopher Nolan"/>
    <s v="Scarlett Johansson, Morgan Freeman"/>
    <x v="7"/>
    <x v="289"/>
    <x v="31"/>
    <x v="1"/>
    <x v="98"/>
    <x v="1"/>
    <x v="0"/>
    <n v="2.6"/>
    <n v="60.87"/>
    <n v="55800000"/>
    <x v="0"/>
  </r>
  <r>
    <s v="S304"/>
    <x v="1"/>
    <s v="Synthetic Title 304"/>
    <s v="Christopher Nolan"/>
    <s v="Viola Davis, Leonardo Dicaprio, Brad Pitt"/>
    <x v="0"/>
    <x v="290"/>
    <x v="19"/>
    <x v="0"/>
    <x v="46"/>
    <x v="1"/>
    <x v="2"/>
    <n v="4.5999999999999996"/>
    <n v="115.74"/>
    <n v="24715000"/>
    <x v="0"/>
  </r>
  <r>
    <s v="S305"/>
    <x v="1"/>
    <s v="Synthetic Title 305"/>
    <s v="Bong Joon Ho"/>
    <s v="Zendaya, Brad Pitt"/>
    <x v="4"/>
    <x v="291"/>
    <x v="29"/>
    <x v="2"/>
    <x v="99"/>
    <x v="1"/>
    <x v="4"/>
    <n v="5.9"/>
    <n v="73.599999999999994"/>
    <n v="69315000"/>
    <x v="1"/>
  </r>
  <r>
    <s v="S306"/>
    <x v="1"/>
    <s v="Synthetic Title 306"/>
    <s v="Martin Scorsese"/>
    <s v="Scarlett Johansson"/>
    <x v="0"/>
    <x v="193"/>
    <x v="19"/>
    <x v="0"/>
    <x v="62"/>
    <x v="1"/>
    <x v="5"/>
    <n v="2.4"/>
    <n v="143.85"/>
    <n v="37528000"/>
    <x v="0"/>
  </r>
  <r>
    <s v="S307"/>
    <x v="1"/>
    <s v="Synthetic Title 307"/>
    <s v="Christopher Nolan"/>
    <s v="Leonardo Dicaprio, Viola Davis"/>
    <x v="0"/>
    <x v="292"/>
    <x v="23"/>
    <x v="1"/>
    <x v="37"/>
    <x v="1"/>
    <x v="1"/>
    <n v="5.5"/>
    <n v="62.49"/>
    <n v="58832000"/>
    <x v="0"/>
  </r>
  <r>
    <s v="S308"/>
    <x v="1"/>
    <s v="Synthetic Title 308"/>
    <s v="Martin Scorsese"/>
    <s v="Brad Pitt, Leonardo Dicaprio, Scarlett Johansson"/>
    <x v="1"/>
    <x v="293"/>
    <x v="17"/>
    <x v="0"/>
    <x v="86"/>
    <x v="1"/>
    <x v="1"/>
    <n v="3.1"/>
    <n v="65.33"/>
    <n v="71707000"/>
    <x v="0"/>
  </r>
  <r>
    <s v="S309"/>
    <x v="1"/>
    <s v="Synthetic Title 309"/>
    <s v="Christopher Nolan"/>
    <s v="Viola Davis"/>
    <x v="0"/>
    <x v="294"/>
    <x v="7"/>
    <x v="0"/>
    <x v="100"/>
    <x v="1"/>
    <x v="3"/>
    <n v="2.6"/>
    <n v="117.78"/>
    <n v="91253000"/>
    <x v="0"/>
  </r>
  <r>
    <s v="S310"/>
    <x v="0"/>
    <s v="Synthetic Title 310"/>
    <s v="Christopher Nolan"/>
    <s v="Tom Hanks"/>
    <x v="7"/>
    <x v="295"/>
    <x v="15"/>
    <x v="1"/>
    <x v="15"/>
    <x v="0"/>
    <x v="5"/>
    <n v="4"/>
    <n v="82.15"/>
    <n v="59763000"/>
    <x v="0"/>
  </r>
  <r>
    <s v="S311"/>
    <x v="0"/>
    <s v="Synthetic Title 311"/>
    <s v="Steven Spielberg"/>
    <s v="Tom Hanks, Leonardo Dicaprio"/>
    <x v="4"/>
    <x v="296"/>
    <x v="28"/>
    <x v="0"/>
    <x v="29"/>
    <x v="0"/>
    <x v="1"/>
    <n v="3.2"/>
    <n v="103.65"/>
    <n v="53666000"/>
    <x v="0"/>
  </r>
  <r>
    <s v="S312"/>
    <x v="1"/>
    <s v="Synthetic Title 312"/>
    <s v="Christopher Nolan"/>
    <s v="Scarlett Johansson, Tom Hanks"/>
    <x v="4"/>
    <x v="297"/>
    <x v="31"/>
    <x v="0"/>
    <x v="5"/>
    <x v="1"/>
    <x v="2"/>
    <n v="8.6999999999999993"/>
    <n v="45.52"/>
    <n v="21101000"/>
    <x v="1"/>
  </r>
  <r>
    <s v="S313"/>
    <x v="1"/>
    <s v="Synthetic Title 313"/>
    <s v="Ava Duvernay"/>
    <s v="Unassigned"/>
    <x v="2"/>
    <x v="298"/>
    <x v="3"/>
    <x v="1"/>
    <x v="52"/>
    <x v="1"/>
    <x v="1"/>
    <n v="6.4"/>
    <n v="37.18"/>
    <n v="51343000"/>
    <x v="0"/>
  </r>
  <r>
    <s v="S314"/>
    <x v="1"/>
    <s v="Synthetic Title 314"/>
    <s v="Christopher Nolan"/>
    <s v="Scarlett Johansson, Leonardo Dicaprio, Morgan Freeman"/>
    <x v="7"/>
    <x v="299"/>
    <x v="13"/>
    <x v="3"/>
    <x v="1"/>
    <x v="1"/>
    <x v="0"/>
    <n v="9.5"/>
    <n v="61.12"/>
    <n v="57449000"/>
    <x v="1"/>
  </r>
  <r>
    <s v="S315"/>
    <x v="1"/>
    <s v="Synthetic Title 315"/>
    <s v="Greta Gerwig"/>
    <s v="Viola Davis, Zendaya, Leonardo Dicaprio"/>
    <x v="0"/>
    <x v="300"/>
    <x v="28"/>
    <x v="2"/>
    <x v="101"/>
    <x v="1"/>
    <x v="5"/>
    <n v="3.3"/>
    <n v="47.71"/>
    <n v="7534000"/>
    <x v="0"/>
  </r>
  <r>
    <s v="S316"/>
    <x v="0"/>
    <s v="Synthetic Title 316"/>
    <s v="Martin Scorsese"/>
    <s v="Zendaya"/>
    <x v="5"/>
    <x v="301"/>
    <x v="16"/>
    <x v="4"/>
    <x v="4"/>
    <x v="0"/>
    <x v="3"/>
    <n v="2.8"/>
    <n v="135.43"/>
    <n v="18419000"/>
    <x v="1"/>
  </r>
  <r>
    <s v="S317"/>
    <x v="1"/>
    <s v="Synthetic Title 317"/>
    <s v="Steven Spielberg"/>
    <s v="Scarlett Johansson, Viola Davis"/>
    <x v="4"/>
    <x v="302"/>
    <x v="14"/>
    <x v="1"/>
    <x v="17"/>
    <x v="1"/>
    <x v="2"/>
    <n v="2.1"/>
    <n v="88.15"/>
    <n v="46574000"/>
    <x v="0"/>
  </r>
  <r>
    <s v="S318"/>
    <x v="0"/>
    <s v="Synthetic Title 318"/>
    <s v="Ava Duvernay"/>
    <s v="Brad Pitt, Morgan Freeman, Viola Davis"/>
    <x v="0"/>
    <x v="303"/>
    <x v="20"/>
    <x v="0"/>
    <x v="2"/>
    <x v="0"/>
    <x v="1"/>
    <n v="2.2000000000000002"/>
    <n v="52.6"/>
    <n v="87564000"/>
    <x v="1"/>
  </r>
  <r>
    <s v="S319"/>
    <x v="1"/>
    <s v="Synthetic Title 319"/>
    <s v="Unassigned"/>
    <s v="Zendaya, Brad Pitt"/>
    <x v="3"/>
    <x v="304"/>
    <x v="4"/>
    <x v="0"/>
    <x v="85"/>
    <x v="1"/>
    <x v="4"/>
    <n v="4"/>
    <n v="14.79"/>
    <n v="37892000"/>
    <x v="0"/>
  </r>
  <r>
    <s v="S320"/>
    <x v="1"/>
    <s v="Synthetic Title 320"/>
    <s v="Greta Gerwig"/>
    <s v="Tom Hanks, Viola Davis, Leonardo Dicaprio"/>
    <x v="5"/>
    <x v="305"/>
    <x v="10"/>
    <x v="4"/>
    <x v="83"/>
    <x v="1"/>
    <x v="4"/>
    <n v="1.3"/>
    <n v="12"/>
    <n v="45221000"/>
    <x v="0"/>
  </r>
  <r>
    <s v="S321"/>
    <x v="1"/>
    <s v="Synthetic Title 321"/>
    <s v="Greta Gerwig"/>
    <s v="Tom Hanks, Brad Pitt"/>
    <x v="2"/>
    <x v="306"/>
    <x v="4"/>
    <x v="4"/>
    <x v="11"/>
    <x v="1"/>
    <x v="2"/>
    <n v="5.7"/>
    <n v="144.66999999999999"/>
    <n v="98671000"/>
    <x v="0"/>
  </r>
  <r>
    <s v="S322"/>
    <x v="1"/>
    <s v="Synthetic Title 322"/>
    <s v="Greta Gerwig"/>
    <s v="Leonardo Dicaprio"/>
    <x v="1"/>
    <x v="130"/>
    <x v="26"/>
    <x v="5"/>
    <x v="102"/>
    <x v="1"/>
    <x v="5"/>
    <n v="8.4"/>
    <n v="122.51"/>
    <n v="88826000"/>
    <x v="0"/>
  </r>
  <r>
    <s v="S323"/>
    <x v="1"/>
    <s v="Synthetic Title 323"/>
    <s v="Christopher Nolan"/>
    <s v="Unassigned"/>
    <x v="0"/>
    <x v="307"/>
    <x v="9"/>
    <x v="5"/>
    <x v="102"/>
    <x v="1"/>
    <x v="1"/>
    <n v="2.9"/>
    <n v="7.65"/>
    <n v="71615000"/>
    <x v="1"/>
  </r>
  <r>
    <s v="S324"/>
    <x v="0"/>
    <s v="Synthetic Title 324"/>
    <s v="Ava Duvernay"/>
    <s v="Unassigned"/>
    <x v="1"/>
    <x v="308"/>
    <x v="26"/>
    <x v="2"/>
    <x v="9"/>
    <x v="0"/>
    <x v="1"/>
    <n v="1.7"/>
    <n v="81.95"/>
    <n v="70570000"/>
    <x v="0"/>
  </r>
  <r>
    <s v="S325"/>
    <x v="1"/>
    <s v="Synthetic Title 325"/>
    <s v="Bong Joon Ho"/>
    <s v="Brad Pitt"/>
    <x v="4"/>
    <x v="309"/>
    <x v="32"/>
    <x v="5"/>
    <x v="103"/>
    <x v="1"/>
    <x v="0"/>
    <n v="7.6"/>
    <n v="79.69"/>
    <n v="7245000"/>
    <x v="1"/>
  </r>
  <r>
    <s v="S326"/>
    <x v="0"/>
    <s v="Synthetic Title 326"/>
    <s v="Bong Joon Ho"/>
    <s v="Unassigned"/>
    <x v="1"/>
    <x v="26"/>
    <x v="6"/>
    <x v="5"/>
    <x v="10"/>
    <x v="0"/>
    <x v="2"/>
    <n v="9.5"/>
    <n v="62.64"/>
    <n v="26918000"/>
    <x v="1"/>
  </r>
  <r>
    <s v="S327"/>
    <x v="0"/>
    <s v="Synthetic Title 327"/>
    <s v="Ava Duvernay"/>
    <s v="Viola Davis"/>
    <x v="4"/>
    <x v="310"/>
    <x v="28"/>
    <x v="5"/>
    <x v="15"/>
    <x v="0"/>
    <x v="3"/>
    <n v="3"/>
    <n v="5.39"/>
    <n v="61389000"/>
    <x v="0"/>
  </r>
  <r>
    <s v="S328"/>
    <x v="1"/>
    <s v="Synthetic Title 328"/>
    <s v="Ava Duvernay"/>
    <s v="Tom Hanks, Brad Pitt, Morgan Freeman"/>
    <x v="2"/>
    <x v="82"/>
    <x v="0"/>
    <x v="4"/>
    <x v="104"/>
    <x v="1"/>
    <x v="2"/>
    <n v="3.8"/>
    <n v="32.61"/>
    <n v="88627000"/>
    <x v="0"/>
  </r>
  <r>
    <s v="S329"/>
    <x v="0"/>
    <s v="Synthetic Title 329"/>
    <s v="Ava Duvernay"/>
    <s v="Unassigned"/>
    <x v="3"/>
    <x v="311"/>
    <x v="30"/>
    <x v="0"/>
    <x v="2"/>
    <x v="0"/>
    <x v="1"/>
    <n v="3"/>
    <n v="89.85"/>
    <n v="2614000"/>
    <x v="0"/>
  </r>
  <r>
    <s v="S330"/>
    <x v="0"/>
    <s v="Synthetic Title 330"/>
    <s v="Bong Joon Ho"/>
    <s v="Brad Pitt"/>
    <x v="1"/>
    <x v="312"/>
    <x v="12"/>
    <x v="3"/>
    <x v="26"/>
    <x v="0"/>
    <x v="3"/>
    <n v="1.2"/>
    <n v="52.76"/>
    <n v="93587000"/>
    <x v="0"/>
  </r>
  <r>
    <s v="S331"/>
    <x v="0"/>
    <s v="Synthetic Title 331"/>
    <s v="Greta Gerwig"/>
    <s v="Tom Hanks"/>
    <x v="3"/>
    <x v="313"/>
    <x v="12"/>
    <x v="4"/>
    <x v="0"/>
    <x v="0"/>
    <x v="0"/>
    <n v="3.7"/>
    <n v="119.85"/>
    <n v="19462000"/>
    <x v="0"/>
  </r>
  <r>
    <s v="S332"/>
    <x v="1"/>
    <s v="Synthetic Title 332"/>
    <s v="Martin Scorsese"/>
    <s v="Brad Pitt, Viola Davis, Tom Hanks"/>
    <x v="1"/>
    <x v="314"/>
    <x v="2"/>
    <x v="0"/>
    <x v="105"/>
    <x v="1"/>
    <x v="0"/>
    <n v="3.1"/>
    <n v="56.42"/>
    <n v="28184000"/>
    <x v="0"/>
  </r>
  <r>
    <s v="S333"/>
    <x v="1"/>
    <s v="Synthetic Title 333"/>
    <s v="Martin Scorsese"/>
    <s v="Leonardo Dicaprio"/>
    <x v="5"/>
    <x v="315"/>
    <x v="29"/>
    <x v="4"/>
    <x v="31"/>
    <x v="1"/>
    <x v="3"/>
    <n v="3"/>
    <n v="102.32"/>
    <n v="10519000"/>
    <x v="0"/>
  </r>
  <r>
    <s v="S334"/>
    <x v="0"/>
    <s v="Synthetic Title 334"/>
    <s v="Martin Scorsese"/>
    <s v="Morgan Freeman, Viola Davis, Tom Hanks"/>
    <x v="1"/>
    <x v="316"/>
    <x v="2"/>
    <x v="2"/>
    <x v="0"/>
    <x v="0"/>
    <x v="5"/>
    <n v="7.7"/>
    <n v="129.41"/>
    <n v="63202000"/>
    <x v="1"/>
  </r>
  <r>
    <s v="S335"/>
    <x v="1"/>
    <s v="Synthetic Title 335"/>
    <s v="Christopher Nolan"/>
    <s v="Morgan Freeman, Scarlett Johansson"/>
    <x v="3"/>
    <x v="317"/>
    <x v="32"/>
    <x v="4"/>
    <x v="70"/>
    <x v="1"/>
    <x v="3"/>
    <n v="6.6"/>
    <n v="131.61000000000001"/>
    <n v="78358000"/>
    <x v="1"/>
  </r>
  <r>
    <s v="S336"/>
    <x v="1"/>
    <s v="Synthetic Title 336"/>
    <s v="Steven Spielberg"/>
    <s v="Tom Hanks, Leonardo Dicaprio, Morgan Freeman"/>
    <x v="6"/>
    <x v="318"/>
    <x v="10"/>
    <x v="3"/>
    <x v="20"/>
    <x v="1"/>
    <x v="5"/>
    <n v="9.8000000000000007"/>
    <n v="5.22"/>
    <n v="29870000"/>
    <x v="0"/>
  </r>
  <r>
    <s v="S337"/>
    <x v="0"/>
    <s v="Synthetic Title 337"/>
    <s v="Unassigned"/>
    <s v="Unassigned"/>
    <x v="6"/>
    <x v="319"/>
    <x v="28"/>
    <x v="3"/>
    <x v="4"/>
    <x v="0"/>
    <x v="3"/>
    <n v="2.7"/>
    <n v="89.66"/>
    <n v="56720000"/>
    <x v="1"/>
  </r>
  <r>
    <s v="S338"/>
    <x v="1"/>
    <s v="Synthetic Title 338"/>
    <s v="Martin Scorsese"/>
    <s v="Tom Hanks, Leonardo Dicaprio, Brad Pitt"/>
    <x v="6"/>
    <x v="320"/>
    <x v="24"/>
    <x v="1"/>
    <x v="70"/>
    <x v="1"/>
    <x v="0"/>
    <n v="4.3"/>
    <n v="40.18"/>
    <n v="75845000"/>
    <x v="0"/>
  </r>
  <r>
    <s v="S339"/>
    <x v="1"/>
    <s v="Synthetic Title 339"/>
    <s v="Christopher Nolan"/>
    <s v="Leonardo Dicaprio, Morgan Freeman, Brad Pitt"/>
    <x v="1"/>
    <x v="321"/>
    <x v="29"/>
    <x v="2"/>
    <x v="106"/>
    <x v="1"/>
    <x v="4"/>
    <n v="6.5"/>
    <n v="95.37"/>
    <n v="29795000"/>
    <x v="0"/>
  </r>
  <r>
    <s v="S340"/>
    <x v="0"/>
    <s v="Synthetic Title 340"/>
    <s v="Christopher Nolan"/>
    <s v="Leonardo Dicaprio, Zendaya, Scarlett Johansson"/>
    <x v="3"/>
    <x v="322"/>
    <x v="0"/>
    <x v="0"/>
    <x v="15"/>
    <x v="0"/>
    <x v="3"/>
    <n v="999"/>
    <n v="5.21"/>
    <n v="89195000"/>
    <x v="1"/>
  </r>
  <r>
    <s v="S341"/>
    <x v="1"/>
    <s v="Synthetic Title 341"/>
    <s v="Ava Duvernay"/>
    <s v="Zendaya, Scarlett Johansson, Leonardo Dicaprio"/>
    <x v="2"/>
    <x v="323"/>
    <x v="10"/>
    <x v="3"/>
    <x v="70"/>
    <x v="1"/>
    <x v="5"/>
    <n v="2.2999999999999998"/>
    <n v="140.1"/>
    <n v="8377000"/>
    <x v="0"/>
  </r>
  <r>
    <s v="S342"/>
    <x v="1"/>
    <s v="Synthetic Title 342"/>
    <s v="Bong Joon Ho"/>
    <s v="Tom Hanks, Viola Davis, Scarlett Johansson"/>
    <x v="3"/>
    <x v="324"/>
    <x v="31"/>
    <x v="1"/>
    <x v="107"/>
    <x v="1"/>
    <x v="5"/>
    <n v="8.4"/>
    <n v="117.13"/>
    <n v="35707000"/>
    <x v="0"/>
  </r>
  <r>
    <s v="S343"/>
    <x v="0"/>
    <s v="Synthetic Title 343"/>
    <s v="Christopher Nolan"/>
    <s v="Tom Hanks"/>
    <x v="1"/>
    <x v="325"/>
    <x v="33"/>
    <x v="4"/>
    <x v="0"/>
    <x v="0"/>
    <x v="0"/>
    <n v="7.1"/>
    <n v="88.27"/>
    <n v="40293000"/>
    <x v="1"/>
  </r>
  <r>
    <s v="S344"/>
    <x v="1"/>
    <s v="Synthetic Title 344"/>
    <s v="Steven Spielberg"/>
    <s v="Tom Hanks"/>
    <x v="3"/>
    <x v="326"/>
    <x v="9"/>
    <x v="5"/>
    <x v="70"/>
    <x v="1"/>
    <x v="4"/>
    <n v="6.4"/>
    <n v="5.9"/>
    <n v="28322000"/>
    <x v="1"/>
  </r>
  <r>
    <s v="S345"/>
    <x v="1"/>
    <s v="Synthetic Title 345"/>
    <s v="Christopher Nolan"/>
    <s v="Scarlett Johansson, Tom Hanks"/>
    <x v="1"/>
    <x v="327"/>
    <x v="18"/>
    <x v="5"/>
    <x v="108"/>
    <x v="1"/>
    <x v="3"/>
    <n v="9"/>
    <n v="125.67"/>
    <n v="9950000"/>
    <x v="0"/>
  </r>
  <r>
    <s v="S346"/>
    <x v="1"/>
    <s v="Synthetic Title 346"/>
    <s v="Greta Gerwig"/>
    <s v="Zendaya"/>
    <x v="7"/>
    <x v="328"/>
    <x v="6"/>
    <x v="3"/>
    <x v="106"/>
    <x v="1"/>
    <x v="0"/>
    <n v="6.6"/>
    <n v="3.29"/>
    <n v="17290000"/>
    <x v="1"/>
  </r>
  <r>
    <s v="S347"/>
    <x v="1"/>
    <s v="Synthetic Title 347"/>
    <s v="Bong Joon Ho"/>
    <s v="Leonardo Dicaprio, Zendaya"/>
    <x v="4"/>
    <x v="329"/>
    <x v="27"/>
    <x v="5"/>
    <x v="71"/>
    <x v="1"/>
    <x v="0"/>
    <n v="1.4"/>
    <n v="38.409999999999997"/>
    <n v="95730000"/>
    <x v="1"/>
  </r>
  <r>
    <s v="S348"/>
    <x v="0"/>
    <s v="Synthetic Title 348"/>
    <s v="Bong Joon Ho"/>
    <s v="Morgan Freeman, Leonardo Dicaprio"/>
    <x v="6"/>
    <x v="330"/>
    <x v="21"/>
    <x v="4"/>
    <x v="4"/>
    <x v="0"/>
    <x v="3"/>
    <n v="7.2"/>
    <n v="129.78"/>
    <n v="26749000"/>
    <x v="1"/>
  </r>
  <r>
    <s v="S349"/>
    <x v="1"/>
    <s v="Synthetic Title 349"/>
    <s v="Bong Joon Ho"/>
    <s v="Scarlett Johansson, Morgan Freeman"/>
    <x v="7"/>
    <x v="331"/>
    <x v="18"/>
    <x v="0"/>
    <x v="109"/>
    <x v="1"/>
    <x v="0"/>
    <n v="6.3"/>
    <n v="61.4"/>
    <n v="12676000"/>
    <x v="0"/>
  </r>
  <r>
    <s v="S350"/>
    <x v="0"/>
    <s v="Synthetic Title 350"/>
    <s v="Bong Joon Ho"/>
    <s v="Tom Hanks"/>
    <x v="1"/>
    <x v="46"/>
    <x v="3"/>
    <x v="5"/>
    <x v="10"/>
    <x v="0"/>
    <x v="2"/>
    <n v="8"/>
    <n v="58.14"/>
    <n v="43212000"/>
    <x v="0"/>
  </r>
  <r>
    <s v="S351"/>
    <x v="0"/>
    <s v="Synthetic Title 351"/>
    <s v="Steven Spielberg"/>
    <s v="Tom Hanks"/>
    <x v="1"/>
    <x v="229"/>
    <x v="16"/>
    <x v="0"/>
    <x v="29"/>
    <x v="0"/>
    <x v="3"/>
    <n v="2.2000000000000002"/>
    <n v="125.58"/>
    <n v="83385000"/>
    <x v="1"/>
  </r>
  <r>
    <s v="S352"/>
    <x v="0"/>
    <s v="Synthetic Title 352"/>
    <s v="Christopher Nolan"/>
    <s v="Tom Hanks, Brad Pitt"/>
    <x v="0"/>
    <x v="332"/>
    <x v="21"/>
    <x v="5"/>
    <x v="9"/>
    <x v="0"/>
    <x v="4"/>
    <n v="4.2"/>
    <n v="12"/>
    <n v="72460000"/>
    <x v="0"/>
  </r>
  <r>
    <s v="S353"/>
    <x v="1"/>
    <s v="Synthetic Title 353"/>
    <s v="Greta Gerwig"/>
    <s v="Zendaya, Morgan Freeman, Tom Hanks"/>
    <x v="3"/>
    <x v="333"/>
    <x v="16"/>
    <x v="3"/>
    <x v="64"/>
    <x v="1"/>
    <x v="5"/>
    <n v="3.9"/>
    <n v="52.1"/>
    <n v="43931000"/>
    <x v="1"/>
  </r>
  <r>
    <s v="S354"/>
    <x v="1"/>
    <s v="Synthetic Title 354"/>
    <s v="Martin Scorsese"/>
    <s v="Morgan Freeman, Tom Hanks, Zendaya"/>
    <x v="4"/>
    <x v="334"/>
    <x v="8"/>
    <x v="5"/>
    <x v="6"/>
    <x v="1"/>
    <x v="5"/>
    <n v="9.6"/>
    <n v="54.95"/>
    <n v="33373000"/>
    <x v="0"/>
  </r>
  <r>
    <s v="S355"/>
    <x v="0"/>
    <s v="Synthetic Title 355"/>
    <s v="Martin Scorsese"/>
    <s v="Brad Pitt, Zendaya"/>
    <x v="6"/>
    <x v="335"/>
    <x v="19"/>
    <x v="0"/>
    <x v="7"/>
    <x v="0"/>
    <x v="4"/>
    <n v="3.7"/>
    <n v="149.03"/>
    <n v="63239000"/>
    <x v="1"/>
  </r>
  <r>
    <s v="S356"/>
    <x v="1"/>
    <s v="Synthetic Title 356"/>
    <s v="Christopher Nolan"/>
    <s v="Viola Davis, Brad Pitt"/>
    <x v="2"/>
    <x v="336"/>
    <x v="29"/>
    <x v="0"/>
    <x v="49"/>
    <x v="1"/>
    <x v="2"/>
    <n v="1.7"/>
    <n v="101.9"/>
    <n v="6684000"/>
    <x v="0"/>
  </r>
  <r>
    <s v="S357"/>
    <x v="0"/>
    <s v="Synthetic Title 357"/>
    <s v="Bong Joon Ho"/>
    <s v="Morgan Freeman, Tom Hanks"/>
    <x v="6"/>
    <x v="337"/>
    <x v="27"/>
    <x v="2"/>
    <x v="4"/>
    <x v="0"/>
    <x v="0"/>
    <n v="6.6"/>
    <n v="13.46"/>
    <n v="16745000"/>
    <x v="1"/>
  </r>
  <r>
    <s v="S358"/>
    <x v="1"/>
    <s v="Synthetic Title 358"/>
    <s v="Christopher Nolan"/>
    <s v="Zendaya, Leonardo Dicaprio, Brad Pitt"/>
    <x v="5"/>
    <x v="162"/>
    <x v="19"/>
    <x v="5"/>
    <x v="46"/>
    <x v="1"/>
    <x v="3"/>
    <n v="4.5999999999999996"/>
    <n v="76.95"/>
    <n v="57683000"/>
    <x v="0"/>
  </r>
  <r>
    <s v="S359"/>
    <x v="1"/>
    <s v="Synthetic Title 359"/>
    <s v="Steven Spielberg"/>
    <s v="Brad Pitt, Scarlett Johansson"/>
    <x v="7"/>
    <x v="89"/>
    <x v="8"/>
    <x v="4"/>
    <x v="47"/>
    <x v="1"/>
    <x v="3"/>
    <n v="5.2"/>
    <n v="15.12"/>
    <n v="50605000"/>
    <x v="1"/>
  </r>
  <r>
    <s v="S360"/>
    <x v="0"/>
    <s v="Synthetic Title 360"/>
    <s v="Greta Gerwig"/>
    <s v="Tom Hanks, Scarlett Johansson"/>
    <x v="6"/>
    <x v="338"/>
    <x v="0"/>
    <x v="1"/>
    <x v="29"/>
    <x v="0"/>
    <x v="0"/>
    <n v="1.3"/>
    <n v="56.22"/>
    <n v="62851000"/>
    <x v="0"/>
  </r>
  <r>
    <s v="S361"/>
    <x v="0"/>
    <s v="Synthetic Title 361"/>
    <s v="Christopher Nolan"/>
    <s v="Tom Hanks"/>
    <x v="1"/>
    <x v="339"/>
    <x v="26"/>
    <x v="4"/>
    <x v="26"/>
    <x v="0"/>
    <x v="4"/>
    <n v="1.1000000000000001"/>
    <n v="49.58"/>
    <n v="91522000"/>
    <x v="0"/>
  </r>
  <r>
    <s v="S362"/>
    <x v="1"/>
    <s v="Synthetic Title 362"/>
    <s v="Ava Duvernay"/>
    <s v="Scarlett Johansson"/>
    <x v="3"/>
    <x v="340"/>
    <x v="21"/>
    <x v="5"/>
    <x v="32"/>
    <x v="1"/>
    <x v="0"/>
    <n v="8.8000000000000007"/>
    <n v="9.41"/>
    <n v="1661000"/>
    <x v="0"/>
  </r>
  <r>
    <s v="S363"/>
    <x v="1"/>
    <s v="Synthetic Title 363"/>
    <s v="Steven Spielberg"/>
    <s v="Viola Davis, Leonardo Dicaprio, Morgan Freeman"/>
    <x v="1"/>
    <x v="297"/>
    <x v="23"/>
    <x v="0"/>
    <x v="21"/>
    <x v="1"/>
    <x v="1"/>
    <n v="2.1"/>
    <n v="65.91"/>
    <n v="63293000"/>
    <x v="0"/>
  </r>
  <r>
    <s v="S364"/>
    <x v="0"/>
    <s v="Synthetic Title 364"/>
    <s v="Christopher Nolan"/>
    <s v="Zendaya, Viola Davis, Scarlett Johansson"/>
    <x v="4"/>
    <x v="341"/>
    <x v="27"/>
    <x v="5"/>
    <x v="7"/>
    <x v="0"/>
    <x v="3"/>
    <n v="8.6"/>
    <n v="132.55000000000001"/>
    <n v="75670000"/>
    <x v="1"/>
  </r>
  <r>
    <s v="S365"/>
    <x v="1"/>
    <s v="Synthetic Title 365"/>
    <s v="Martin Scorsese"/>
    <s v="Leonardo Dicaprio"/>
    <x v="6"/>
    <x v="342"/>
    <x v="13"/>
    <x v="2"/>
    <x v="77"/>
    <x v="1"/>
    <x v="2"/>
    <n v="9.8000000000000007"/>
    <n v="2.0699999999999998"/>
    <n v="9747000"/>
    <x v="1"/>
  </r>
  <r>
    <s v="S366"/>
    <x v="0"/>
    <s v="Synthetic Title 366"/>
    <s v="Steven Spielberg"/>
    <s v="Tom Hanks"/>
    <x v="5"/>
    <x v="343"/>
    <x v="4"/>
    <x v="1"/>
    <x v="4"/>
    <x v="0"/>
    <x v="4"/>
    <n v="5.6"/>
    <n v="29.33"/>
    <n v="63615000"/>
    <x v="0"/>
  </r>
  <r>
    <s v="S367"/>
    <x v="1"/>
    <s v="Synthetic Title 367"/>
    <s v="Bong Joon Ho"/>
    <s v="Unassigned"/>
    <x v="4"/>
    <x v="344"/>
    <x v="2"/>
    <x v="3"/>
    <x v="72"/>
    <x v="1"/>
    <x v="1"/>
    <n v="7.2"/>
    <n v="97.5"/>
    <n v="98451000"/>
    <x v="1"/>
  </r>
  <r>
    <s v="S368"/>
    <x v="0"/>
    <s v="Synthetic Title 368"/>
    <s v="Steven Spielberg"/>
    <s v="Brad Pitt, Tom Hanks"/>
    <x v="2"/>
    <x v="94"/>
    <x v="15"/>
    <x v="3"/>
    <x v="15"/>
    <x v="0"/>
    <x v="2"/>
    <n v="8.1"/>
    <n v="16.100000000000001"/>
    <n v="29776000"/>
    <x v="0"/>
  </r>
  <r>
    <s v="S369"/>
    <x v="1"/>
    <s v="Synthetic Title 369"/>
    <s v="Bong Joon Ho"/>
    <s v="Morgan Freeman, Tom Hanks, Leonardo Dicaprio"/>
    <x v="5"/>
    <x v="345"/>
    <x v="13"/>
    <x v="1"/>
    <x v="95"/>
    <x v="1"/>
    <x v="3"/>
    <n v="9.3000000000000007"/>
    <n v="57.33"/>
    <n v="76748000"/>
    <x v="1"/>
  </r>
  <r>
    <s v="S370"/>
    <x v="0"/>
    <s v="Synthetic Title 370"/>
    <s v="Ava Duvernay"/>
    <s v="Tom Hanks"/>
    <x v="2"/>
    <x v="346"/>
    <x v="8"/>
    <x v="0"/>
    <x v="9"/>
    <x v="0"/>
    <x v="4"/>
    <n v="1.7"/>
    <n v="143.38"/>
    <n v="19381000"/>
    <x v="1"/>
  </r>
  <r>
    <s v="S371"/>
    <x v="1"/>
    <s v="Synthetic Title 371"/>
    <s v="Christopher Nolan"/>
    <s v="Leonardo Dicaprio, Tom Hanks"/>
    <x v="1"/>
    <x v="347"/>
    <x v="12"/>
    <x v="1"/>
    <x v="79"/>
    <x v="1"/>
    <x v="0"/>
    <n v="3"/>
    <n v="56.97"/>
    <n v="45104000"/>
    <x v="0"/>
  </r>
  <r>
    <s v="S372"/>
    <x v="1"/>
    <s v="Synthetic Title 372"/>
    <s v="Steven Spielberg"/>
    <s v="Unassigned"/>
    <x v="6"/>
    <x v="348"/>
    <x v="10"/>
    <x v="5"/>
    <x v="110"/>
    <x v="1"/>
    <x v="5"/>
    <n v="4.8"/>
    <n v="97.15"/>
    <n v="85751000"/>
    <x v="0"/>
  </r>
  <r>
    <s v="S373"/>
    <x v="0"/>
    <s v="Synthetic Title 373"/>
    <s v="Unassigned"/>
    <s v="Unassigned"/>
    <x v="1"/>
    <x v="349"/>
    <x v="4"/>
    <x v="2"/>
    <x v="29"/>
    <x v="0"/>
    <x v="5"/>
    <n v="1.5"/>
    <n v="115.1"/>
    <n v="54366000"/>
    <x v="0"/>
  </r>
  <r>
    <s v="S374"/>
    <x v="0"/>
    <s v="Synthetic Title 374"/>
    <s v="Unassigned"/>
    <s v="Scarlett Johansson"/>
    <x v="6"/>
    <x v="350"/>
    <x v="11"/>
    <x v="4"/>
    <x v="10"/>
    <x v="0"/>
    <x v="2"/>
    <n v="4.7"/>
    <n v="82.72"/>
    <n v="82715000"/>
    <x v="0"/>
  </r>
  <r>
    <s v="S375"/>
    <x v="1"/>
    <s v="Synthetic Title 375"/>
    <s v="Unassigned"/>
    <s v="Brad Pitt"/>
    <x v="3"/>
    <x v="347"/>
    <x v="24"/>
    <x v="3"/>
    <x v="46"/>
    <x v="1"/>
    <x v="1"/>
    <n v="6.6"/>
    <n v="77.63"/>
    <n v="54250000"/>
    <x v="0"/>
  </r>
  <r>
    <s v="S376"/>
    <x v="1"/>
    <s v="Synthetic Title 376"/>
    <s v="Ava Duvernay"/>
    <s v="Morgan Freeman"/>
    <x v="6"/>
    <x v="351"/>
    <x v="15"/>
    <x v="4"/>
    <x v="111"/>
    <x v="1"/>
    <x v="2"/>
    <n v="7.3"/>
    <n v="98.9"/>
    <n v="91206000"/>
    <x v="1"/>
  </r>
  <r>
    <s v="S377"/>
    <x v="0"/>
    <s v="Synthetic Title 377"/>
    <s v="Martin Scorsese"/>
    <s v="Unassigned"/>
    <x v="0"/>
    <x v="352"/>
    <x v="14"/>
    <x v="5"/>
    <x v="4"/>
    <x v="0"/>
    <x v="4"/>
    <n v="8.3000000000000007"/>
    <n v="26.83"/>
    <n v="28358000"/>
    <x v="0"/>
  </r>
  <r>
    <s v="S378"/>
    <x v="0"/>
    <s v="Synthetic Title 378"/>
    <s v="Steven Spielberg"/>
    <s v="Viola Davis, Brad Pitt"/>
    <x v="0"/>
    <x v="170"/>
    <x v="19"/>
    <x v="4"/>
    <x v="4"/>
    <x v="0"/>
    <x v="4"/>
    <n v="8.6"/>
    <n v="45.81"/>
    <n v="35821000"/>
    <x v="0"/>
  </r>
  <r>
    <s v="S379"/>
    <x v="1"/>
    <s v="Synthetic Title 379"/>
    <s v="Unassigned"/>
    <s v="Leonardo Dicaprio, Brad Pitt, Viola Davis"/>
    <x v="6"/>
    <x v="353"/>
    <x v="16"/>
    <x v="0"/>
    <x v="39"/>
    <x v="1"/>
    <x v="4"/>
    <n v="2.7"/>
    <n v="104.74"/>
    <n v="52955000"/>
    <x v="1"/>
  </r>
  <r>
    <s v="S380"/>
    <x v="1"/>
    <s v="Synthetic Title 380"/>
    <s v="Ava Duvernay"/>
    <s v="Brad Pitt"/>
    <x v="6"/>
    <x v="354"/>
    <x v="31"/>
    <x v="4"/>
    <x v="75"/>
    <x v="1"/>
    <x v="0"/>
    <n v="999"/>
    <n v="50.13"/>
    <n v="47211000"/>
    <x v="1"/>
  </r>
  <r>
    <s v="S381"/>
    <x v="1"/>
    <s v="Synthetic Title 381"/>
    <s v="Greta Gerwig"/>
    <s v="Leonardo Dicaprio, Viola Davis"/>
    <x v="4"/>
    <x v="355"/>
    <x v="18"/>
    <x v="5"/>
    <x v="112"/>
    <x v="1"/>
    <x v="0"/>
    <n v="4"/>
    <n v="144.93"/>
    <n v="53371000"/>
    <x v="0"/>
  </r>
  <r>
    <s v="S382"/>
    <x v="1"/>
    <s v="Synthetic Title 382"/>
    <s v="Christopher Nolan"/>
    <s v="Scarlett Johansson, Brad Pitt"/>
    <x v="0"/>
    <x v="356"/>
    <x v="16"/>
    <x v="0"/>
    <x v="44"/>
    <x v="1"/>
    <x v="0"/>
    <n v="6.4"/>
    <n v="103.42"/>
    <n v="74794000"/>
    <x v="0"/>
  </r>
  <r>
    <s v="S383"/>
    <x v="1"/>
    <s v="Synthetic Title 383"/>
    <s v="Christopher Nolan"/>
    <s v="Leonardo Dicaprio, Zendaya"/>
    <x v="3"/>
    <x v="357"/>
    <x v="23"/>
    <x v="5"/>
    <x v="107"/>
    <x v="1"/>
    <x v="4"/>
    <n v="4.5"/>
    <n v="142.51"/>
    <n v="9484000"/>
    <x v="0"/>
  </r>
  <r>
    <s v="S384"/>
    <x v="1"/>
    <s v="Synthetic Title 384"/>
    <s v="Martin Scorsese"/>
    <s v="Unassigned"/>
    <x v="7"/>
    <x v="358"/>
    <x v="17"/>
    <x v="3"/>
    <x v="113"/>
    <x v="1"/>
    <x v="0"/>
    <n v="3.1"/>
    <n v="146.41"/>
    <n v="49703000"/>
    <x v="0"/>
  </r>
  <r>
    <s v="S385"/>
    <x v="1"/>
    <s v="Synthetic Title 385"/>
    <s v="Greta Gerwig"/>
    <s v="Brad Pitt"/>
    <x v="5"/>
    <x v="359"/>
    <x v="17"/>
    <x v="1"/>
    <x v="114"/>
    <x v="1"/>
    <x v="4"/>
    <n v="7.9"/>
    <n v="44.89"/>
    <n v="70117000"/>
    <x v="0"/>
  </r>
  <r>
    <s v="S386"/>
    <x v="1"/>
    <s v="Synthetic Title 386"/>
    <s v="Ava Duvernay"/>
    <s v="Scarlett Johansson, Leonardo Dicaprio, Morgan Freeman"/>
    <x v="0"/>
    <x v="360"/>
    <x v="32"/>
    <x v="1"/>
    <x v="64"/>
    <x v="1"/>
    <x v="0"/>
    <n v="7.3"/>
    <n v="73.459999999999994"/>
    <n v="44910000"/>
    <x v="1"/>
  </r>
  <r>
    <s v="S387"/>
    <x v="1"/>
    <s v="Synthetic Title 387"/>
    <s v="Martin Scorsese"/>
    <s v="Brad Pitt, Leonardo Dicaprio"/>
    <x v="6"/>
    <x v="361"/>
    <x v="8"/>
    <x v="3"/>
    <x v="71"/>
    <x v="1"/>
    <x v="0"/>
    <n v="3.4"/>
    <n v="142.52000000000001"/>
    <n v="20210000"/>
    <x v="1"/>
  </r>
  <r>
    <s v="S388"/>
    <x v="1"/>
    <s v="Synthetic Title 388"/>
    <s v="Unassigned"/>
    <s v="Scarlett Johansson"/>
    <x v="3"/>
    <x v="362"/>
    <x v="9"/>
    <x v="4"/>
    <x v="55"/>
    <x v="1"/>
    <x v="2"/>
    <n v="5.5"/>
    <n v="94.3"/>
    <n v="85264000"/>
    <x v="1"/>
  </r>
  <r>
    <s v="S389"/>
    <x v="1"/>
    <s v="Synthetic Title 389"/>
    <s v="Steven Spielberg"/>
    <s v="Viola Davis, Brad Pitt, Tom Hanks"/>
    <x v="2"/>
    <x v="363"/>
    <x v="17"/>
    <x v="3"/>
    <x v="25"/>
    <x v="1"/>
    <x v="0"/>
    <n v="4.4000000000000004"/>
    <n v="58.81"/>
    <n v="32298000"/>
    <x v="1"/>
  </r>
  <r>
    <s v="S390"/>
    <x v="1"/>
    <s v="Synthetic Title 390"/>
    <s v="Martin Scorsese"/>
    <s v="Zendaya"/>
    <x v="0"/>
    <x v="364"/>
    <x v="4"/>
    <x v="0"/>
    <x v="115"/>
    <x v="1"/>
    <x v="3"/>
    <n v="9"/>
    <n v="80.819999999999993"/>
    <n v="41672000"/>
    <x v="0"/>
  </r>
  <r>
    <s v="S391"/>
    <x v="1"/>
    <s v="Synthetic Title 391"/>
    <s v="Bong Joon Ho"/>
    <s v="Leonardo Dicaprio, Scarlett Johansson, Morgan Freeman"/>
    <x v="5"/>
    <x v="78"/>
    <x v="21"/>
    <x v="4"/>
    <x v="102"/>
    <x v="1"/>
    <x v="5"/>
    <n v="2.5"/>
    <n v="82.37"/>
    <n v="71596000"/>
    <x v="0"/>
  </r>
  <r>
    <s v="S392"/>
    <x v="1"/>
    <s v="Synthetic Title 392"/>
    <s v="Christopher Nolan"/>
    <s v="Scarlett Johansson, Leonardo Dicaprio, Zendaya"/>
    <x v="2"/>
    <x v="365"/>
    <x v="1"/>
    <x v="5"/>
    <x v="28"/>
    <x v="1"/>
    <x v="0"/>
    <n v="1.1000000000000001"/>
    <n v="12.86"/>
    <n v="33105000"/>
    <x v="1"/>
  </r>
  <r>
    <s v="S393"/>
    <x v="0"/>
    <s v="Synthetic Title 393"/>
    <s v="Greta Gerwig"/>
    <s v="Scarlett Johansson, Zendaya, Brad Pitt"/>
    <x v="1"/>
    <x v="366"/>
    <x v="3"/>
    <x v="1"/>
    <x v="2"/>
    <x v="0"/>
    <x v="3"/>
    <n v="8.4"/>
    <n v="90.64"/>
    <n v="90403000"/>
    <x v="0"/>
  </r>
  <r>
    <s v="S394"/>
    <x v="1"/>
    <s v="Synthetic Title 394"/>
    <s v="Bong Joon Ho"/>
    <s v="Tom Hanks, Leonardo Dicaprio"/>
    <x v="0"/>
    <x v="367"/>
    <x v="26"/>
    <x v="4"/>
    <x v="116"/>
    <x v="1"/>
    <x v="2"/>
    <n v="8.1999999999999993"/>
    <n v="89.59"/>
    <n v="87253000"/>
    <x v="1"/>
  </r>
  <r>
    <s v="S395"/>
    <x v="0"/>
    <s v="Synthetic Title 395"/>
    <s v="Martin Scorsese"/>
    <s v="Morgan Freeman, Scarlett Johansson, Tom Hanks"/>
    <x v="0"/>
    <x v="368"/>
    <x v="21"/>
    <x v="4"/>
    <x v="29"/>
    <x v="0"/>
    <x v="2"/>
    <n v="2.1"/>
    <n v="123.59"/>
    <n v="3333000"/>
    <x v="1"/>
  </r>
  <r>
    <s v="S396"/>
    <x v="0"/>
    <s v="Synthetic Title 396"/>
    <s v="Christopher Nolan"/>
    <s v="Scarlett Johansson, Zendaya, Leonardo Dicaprio"/>
    <x v="0"/>
    <x v="38"/>
    <x v="32"/>
    <x v="3"/>
    <x v="13"/>
    <x v="0"/>
    <x v="4"/>
    <n v="1.4"/>
    <n v="54.89"/>
    <n v="49939000"/>
    <x v="1"/>
  </r>
  <r>
    <s v="S397"/>
    <x v="1"/>
    <s v="Synthetic Title 397"/>
    <s v="Christopher Nolan"/>
    <s v="Viola Davis"/>
    <x v="2"/>
    <x v="369"/>
    <x v="20"/>
    <x v="5"/>
    <x v="110"/>
    <x v="1"/>
    <x v="0"/>
    <n v="6.5"/>
    <n v="142.09"/>
    <n v="100385000"/>
    <x v="1"/>
  </r>
  <r>
    <s v="S398"/>
    <x v="0"/>
    <s v="Synthetic Title 398"/>
    <s v="Greta Gerwig"/>
    <s v="Tom Hanks"/>
    <x v="5"/>
    <x v="370"/>
    <x v="12"/>
    <x v="5"/>
    <x v="15"/>
    <x v="0"/>
    <x v="0"/>
    <n v="2.1"/>
    <n v="40.090000000000003"/>
    <n v="29378000"/>
    <x v="0"/>
  </r>
  <r>
    <s v="S399"/>
    <x v="1"/>
    <s v="Synthetic Title 399"/>
    <s v="Martin Scorsese"/>
    <s v="Unassigned"/>
    <x v="1"/>
    <x v="371"/>
    <x v="32"/>
    <x v="2"/>
    <x v="30"/>
    <x v="1"/>
    <x v="0"/>
    <n v="2.5"/>
    <n v="59.51"/>
    <n v="46947000"/>
    <x v="1"/>
  </r>
  <r>
    <s v="S400"/>
    <x v="1"/>
    <s v="Synthetic Title 400"/>
    <s v="Martin Scorsese"/>
    <s v="Tom Hanks, Morgan Freeman, Viola Davis"/>
    <x v="4"/>
    <x v="372"/>
    <x v="12"/>
    <x v="4"/>
    <x v="76"/>
    <x v="1"/>
    <x v="4"/>
    <n v="6.2"/>
    <n v="20.54"/>
    <n v="42104000"/>
    <x v="1"/>
  </r>
  <r>
    <s v="S401"/>
    <x v="0"/>
    <s v="Synthetic Title 401"/>
    <s v="Ava Duvernay"/>
    <s v="Viola Davis"/>
    <x v="5"/>
    <x v="0"/>
    <x v="8"/>
    <x v="2"/>
    <x v="4"/>
    <x v="0"/>
    <x v="0"/>
    <n v="4.8"/>
    <n v="16.72"/>
    <n v="71983000"/>
    <x v="0"/>
  </r>
  <r>
    <s v="S402"/>
    <x v="0"/>
    <s v="Synthetic Title 402"/>
    <s v="Ava Duvernay"/>
    <s v="Brad Pitt"/>
    <x v="6"/>
    <x v="373"/>
    <x v="19"/>
    <x v="0"/>
    <x v="15"/>
    <x v="0"/>
    <x v="0"/>
    <n v="5.7"/>
    <n v="123.27"/>
    <n v="4245000"/>
    <x v="0"/>
  </r>
  <r>
    <s v="S403"/>
    <x v="0"/>
    <s v="Synthetic Title 403"/>
    <s v="Greta Gerwig"/>
    <s v="Scarlett Johansson, Zendaya, Brad Pitt"/>
    <x v="6"/>
    <x v="374"/>
    <x v="11"/>
    <x v="1"/>
    <x v="13"/>
    <x v="0"/>
    <x v="5"/>
    <n v="5.3"/>
    <n v="14.51"/>
    <n v="59573000"/>
    <x v="1"/>
  </r>
  <r>
    <s v="S404"/>
    <x v="1"/>
    <s v="Synthetic Title 404"/>
    <s v="Martin Scorsese"/>
    <s v="Brad Pitt, Viola Davis, Morgan Freeman"/>
    <x v="2"/>
    <x v="375"/>
    <x v="11"/>
    <x v="5"/>
    <x v="110"/>
    <x v="1"/>
    <x v="1"/>
    <n v="2.9"/>
    <n v="123.38"/>
    <n v="73238000"/>
    <x v="1"/>
  </r>
  <r>
    <s v="S405"/>
    <x v="1"/>
    <s v="Synthetic Title 405"/>
    <s v="Bong Joon Ho"/>
    <s v="Brad Pitt"/>
    <x v="1"/>
    <x v="376"/>
    <x v="22"/>
    <x v="1"/>
    <x v="16"/>
    <x v="1"/>
    <x v="3"/>
    <n v="4.0999999999999996"/>
    <n v="39.67"/>
    <n v="12104000"/>
    <x v="0"/>
  </r>
  <r>
    <s v="S406"/>
    <x v="1"/>
    <s v="Synthetic Title 406"/>
    <s v="Christopher Nolan"/>
    <s v="Leonardo Dicaprio, Zendaya, Scarlett Johansson"/>
    <x v="5"/>
    <x v="377"/>
    <x v="13"/>
    <x v="3"/>
    <x v="117"/>
    <x v="1"/>
    <x v="5"/>
    <n v="5.4"/>
    <n v="67.56"/>
    <n v="6149000"/>
    <x v="0"/>
  </r>
  <r>
    <s v="S407"/>
    <x v="1"/>
    <s v="Synthetic Title 407"/>
    <s v="Steven Spielberg"/>
    <s v="Viola Davis"/>
    <x v="2"/>
    <x v="378"/>
    <x v="13"/>
    <x v="0"/>
    <x v="64"/>
    <x v="1"/>
    <x v="1"/>
    <n v="4.4000000000000004"/>
    <n v="79.430000000000007"/>
    <n v="52959000"/>
    <x v="0"/>
  </r>
  <r>
    <s v="S408"/>
    <x v="1"/>
    <s v="Synthetic Title 408"/>
    <s v="Martin Scorsese"/>
    <s v="Unassigned"/>
    <x v="5"/>
    <x v="379"/>
    <x v="2"/>
    <x v="5"/>
    <x v="42"/>
    <x v="1"/>
    <x v="5"/>
    <n v="7.5"/>
    <n v="25.42"/>
    <n v="3497000"/>
    <x v="0"/>
  </r>
  <r>
    <s v="S409"/>
    <x v="1"/>
    <s v="Synthetic Title 409"/>
    <s v="Steven Spielberg"/>
    <s v="Brad Pitt, Tom Hanks"/>
    <x v="2"/>
    <x v="380"/>
    <x v="23"/>
    <x v="3"/>
    <x v="71"/>
    <x v="1"/>
    <x v="5"/>
    <n v="2.4"/>
    <n v="58.29"/>
    <n v="82797000"/>
    <x v="0"/>
  </r>
  <r>
    <s v="S410"/>
    <x v="0"/>
    <s v="Synthetic Title 410"/>
    <s v="Greta Gerwig"/>
    <s v="Morgan Freeman"/>
    <x v="7"/>
    <x v="381"/>
    <x v="25"/>
    <x v="0"/>
    <x v="26"/>
    <x v="0"/>
    <x v="3"/>
    <n v="9.6"/>
    <n v="145.66999999999999"/>
    <n v="83668000"/>
    <x v="0"/>
  </r>
  <r>
    <s v="S411"/>
    <x v="1"/>
    <s v="Synthetic Title 411"/>
    <s v="Steven Spielberg"/>
    <s v="Tom Hanks"/>
    <x v="5"/>
    <x v="382"/>
    <x v="7"/>
    <x v="3"/>
    <x v="20"/>
    <x v="1"/>
    <x v="3"/>
    <n v="5.2"/>
    <n v="12.06"/>
    <n v="63838000"/>
    <x v="0"/>
  </r>
  <r>
    <s v="S412"/>
    <x v="1"/>
    <s v="Synthetic Title 412"/>
    <s v="Unassigned"/>
    <s v="Leonardo Dicaprio, Brad Pitt, Viola Davis"/>
    <x v="3"/>
    <x v="383"/>
    <x v="2"/>
    <x v="0"/>
    <x v="11"/>
    <x v="1"/>
    <x v="5"/>
    <n v="7.7"/>
    <n v="68.040000000000006"/>
    <n v="57424000"/>
    <x v="1"/>
  </r>
  <r>
    <s v="S413"/>
    <x v="1"/>
    <s v="Synthetic Title 413"/>
    <s v="Christopher Nolan"/>
    <s v="Brad Pitt, Morgan Freeman, Scarlett Johansson"/>
    <x v="0"/>
    <x v="147"/>
    <x v="2"/>
    <x v="4"/>
    <x v="16"/>
    <x v="1"/>
    <x v="3"/>
    <n v="9.1"/>
    <n v="26.27"/>
    <n v="19911000"/>
    <x v="1"/>
  </r>
  <r>
    <s v="S414"/>
    <x v="0"/>
    <s v="Synthetic Title 414"/>
    <s v="Christopher Nolan"/>
    <s v="Tom Hanks"/>
    <x v="7"/>
    <x v="384"/>
    <x v="30"/>
    <x v="3"/>
    <x v="9"/>
    <x v="0"/>
    <x v="3"/>
    <n v="5.7"/>
    <n v="64.150000000000006"/>
    <n v="48951000"/>
    <x v="0"/>
  </r>
  <r>
    <s v="S415"/>
    <x v="1"/>
    <s v="Synthetic Title 415"/>
    <s v="Martin Scorsese"/>
    <s v="Viola Davis, Morgan Freeman"/>
    <x v="2"/>
    <x v="385"/>
    <x v="19"/>
    <x v="2"/>
    <x v="84"/>
    <x v="1"/>
    <x v="3"/>
    <n v="7.3"/>
    <n v="19.37"/>
    <n v="95692000"/>
    <x v="0"/>
  </r>
  <r>
    <s v="S416"/>
    <x v="1"/>
    <s v="Synthetic Title 416"/>
    <s v="Ava Duvernay"/>
    <s v="Morgan Freeman, Scarlett Johansson, Leonardo Dicaprio"/>
    <x v="7"/>
    <x v="21"/>
    <x v="5"/>
    <x v="2"/>
    <x v="118"/>
    <x v="1"/>
    <x v="5"/>
    <n v="8"/>
    <n v="79.37"/>
    <n v="6629000"/>
    <x v="0"/>
  </r>
  <r>
    <s v="S417"/>
    <x v="0"/>
    <s v="Synthetic Title 417"/>
    <s v="Steven Spielberg"/>
    <s v="Tom Hanks, Brad Pitt"/>
    <x v="0"/>
    <x v="386"/>
    <x v="26"/>
    <x v="5"/>
    <x v="13"/>
    <x v="0"/>
    <x v="2"/>
    <n v="1.7"/>
    <n v="57.36"/>
    <n v="84729000"/>
    <x v="0"/>
  </r>
  <r>
    <s v="S418"/>
    <x v="1"/>
    <s v="Synthetic Title 418"/>
    <s v="Bong Joon Ho"/>
    <s v="Viola Davis, Tom Hanks"/>
    <x v="5"/>
    <x v="387"/>
    <x v="22"/>
    <x v="0"/>
    <x v="55"/>
    <x v="1"/>
    <x v="3"/>
    <n v="9.9"/>
    <n v="82.87"/>
    <n v="33876000"/>
    <x v="1"/>
  </r>
  <r>
    <s v="S419"/>
    <x v="1"/>
    <s v="Synthetic Title 419"/>
    <s v="Greta Gerwig"/>
    <s v="Leonardo Dicaprio, Brad Pitt"/>
    <x v="7"/>
    <x v="388"/>
    <x v="21"/>
    <x v="0"/>
    <x v="88"/>
    <x v="1"/>
    <x v="5"/>
    <n v="2.2000000000000002"/>
    <n v="139.5"/>
    <n v="57275000"/>
    <x v="1"/>
  </r>
  <r>
    <s v="S420"/>
    <x v="1"/>
    <s v="Synthetic Title 420"/>
    <s v="Bong Joon Ho"/>
    <s v="Leonardo Dicaprio, Zendaya, Brad Pitt"/>
    <x v="5"/>
    <x v="389"/>
    <x v="18"/>
    <x v="0"/>
    <x v="24"/>
    <x v="1"/>
    <x v="3"/>
    <n v="3.1"/>
    <n v="103.31"/>
    <n v="37403000"/>
    <x v="0"/>
  </r>
  <r>
    <s v="S421"/>
    <x v="1"/>
    <s v="Synthetic Title 421"/>
    <s v="Martin Scorsese"/>
    <s v="Leonardo Dicaprio, Viola Davis, Brad Pitt"/>
    <x v="5"/>
    <x v="390"/>
    <x v="9"/>
    <x v="2"/>
    <x v="53"/>
    <x v="1"/>
    <x v="0"/>
    <n v="6.3"/>
    <n v="92.29"/>
    <n v="45330000"/>
    <x v="0"/>
  </r>
  <r>
    <s v="S422"/>
    <x v="1"/>
    <s v="Synthetic Title 422"/>
    <s v="Martin Scorsese"/>
    <s v="Leonardo Dicaprio, Scarlett Johansson, Brad Pitt"/>
    <x v="3"/>
    <x v="391"/>
    <x v="17"/>
    <x v="5"/>
    <x v="89"/>
    <x v="1"/>
    <x v="3"/>
    <n v="3.8"/>
    <n v="51.7"/>
    <n v="3818000"/>
    <x v="0"/>
  </r>
  <r>
    <s v="S423"/>
    <x v="1"/>
    <s v="Synthetic Title 423"/>
    <s v="Bong Joon Ho"/>
    <s v="Tom Hanks"/>
    <x v="5"/>
    <x v="304"/>
    <x v="5"/>
    <x v="2"/>
    <x v="119"/>
    <x v="1"/>
    <x v="0"/>
    <n v="5.9"/>
    <n v="66.09"/>
    <n v="38855000"/>
    <x v="1"/>
  </r>
  <r>
    <s v="S424"/>
    <x v="1"/>
    <s v="Synthetic Title 424"/>
    <s v="Bong Joon Ho"/>
    <s v="Viola Davis, Morgan Freeman, Brad Pitt"/>
    <x v="0"/>
    <x v="392"/>
    <x v="19"/>
    <x v="5"/>
    <x v="110"/>
    <x v="1"/>
    <x v="0"/>
    <n v="7.7"/>
    <n v="35.64"/>
    <n v="74998000"/>
    <x v="1"/>
  </r>
  <r>
    <s v="S425"/>
    <x v="0"/>
    <s v="Synthetic Title 425"/>
    <s v="Unassigned"/>
    <s v="Leonardo Dicaprio"/>
    <x v="6"/>
    <x v="157"/>
    <x v="28"/>
    <x v="4"/>
    <x v="13"/>
    <x v="0"/>
    <x v="5"/>
    <n v="6.9"/>
    <n v="68.61"/>
    <n v="77155000"/>
    <x v="0"/>
  </r>
  <r>
    <s v="S426"/>
    <x v="0"/>
    <s v="Synthetic Title 426"/>
    <s v="Steven Spielberg"/>
    <s v="Viola Davis"/>
    <x v="1"/>
    <x v="192"/>
    <x v="4"/>
    <x v="1"/>
    <x v="9"/>
    <x v="0"/>
    <x v="0"/>
    <n v="7.9"/>
    <n v="125.47"/>
    <n v="53409000"/>
    <x v="1"/>
  </r>
  <r>
    <s v="S427"/>
    <x v="0"/>
    <s v="Synthetic Title 427"/>
    <s v="Bong Joon Ho"/>
    <s v="Morgan Freeman"/>
    <x v="6"/>
    <x v="393"/>
    <x v="16"/>
    <x v="4"/>
    <x v="29"/>
    <x v="0"/>
    <x v="0"/>
    <n v="7"/>
    <n v="6.86"/>
    <n v="20316000"/>
    <x v="1"/>
  </r>
  <r>
    <s v="S428"/>
    <x v="1"/>
    <s v="Synthetic Title 428"/>
    <s v="Christopher Nolan"/>
    <s v="Tom Hanks, Scarlett Johansson"/>
    <x v="0"/>
    <x v="75"/>
    <x v="1"/>
    <x v="0"/>
    <x v="90"/>
    <x v="1"/>
    <x v="5"/>
    <n v="4.7"/>
    <n v="47.9"/>
    <n v="94136000"/>
    <x v="1"/>
  </r>
  <r>
    <s v="S429"/>
    <x v="1"/>
    <s v="Synthetic Title 429"/>
    <s v="Bong Joon Ho"/>
    <s v="Unassigned"/>
    <x v="3"/>
    <x v="394"/>
    <x v="12"/>
    <x v="2"/>
    <x v="79"/>
    <x v="1"/>
    <x v="0"/>
    <n v="5.4"/>
    <n v="62.62"/>
    <n v="16245000"/>
    <x v="1"/>
  </r>
  <r>
    <s v="S430"/>
    <x v="0"/>
    <s v="Synthetic Title 430"/>
    <s v="Unassigned"/>
    <s v="Tom Hanks, Leonardo Dicaprio"/>
    <x v="1"/>
    <x v="395"/>
    <x v="29"/>
    <x v="1"/>
    <x v="29"/>
    <x v="0"/>
    <x v="1"/>
    <n v="9.4"/>
    <n v="15.78"/>
    <n v="77658000"/>
    <x v="0"/>
  </r>
  <r>
    <s v="S431"/>
    <x v="1"/>
    <s v="Synthetic Title 431"/>
    <s v="Christopher Nolan"/>
    <s v="Zendaya"/>
    <x v="3"/>
    <x v="155"/>
    <x v="21"/>
    <x v="4"/>
    <x v="36"/>
    <x v="1"/>
    <x v="5"/>
    <n v="9.1"/>
    <n v="32.57"/>
    <n v="95790000"/>
    <x v="1"/>
  </r>
  <r>
    <s v="S432"/>
    <x v="1"/>
    <s v="Synthetic Title 432"/>
    <s v="Steven Spielberg"/>
    <s v="Zendaya, Scarlett Johansson, Leonardo Dicaprio"/>
    <x v="5"/>
    <x v="27"/>
    <x v="26"/>
    <x v="2"/>
    <x v="97"/>
    <x v="1"/>
    <x v="0"/>
    <n v="3.3"/>
    <n v="128.32"/>
    <n v="41286000"/>
    <x v="0"/>
  </r>
  <r>
    <s v="S433"/>
    <x v="0"/>
    <s v="Synthetic Title 433"/>
    <s v="Greta Gerwig"/>
    <s v="Brad Pitt, Viola Davis"/>
    <x v="6"/>
    <x v="396"/>
    <x v="3"/>
    <x v="1"/>
    <x v="26"/>
    <x v="0"/>
    <x v="0"/>
    <n v="5.8"/>
    <n v="96.69"/>
    <n v="22218000"/>
    <x v="0"/>
  </r>
  <r>
    <s v="S434"/>
    <x v="1"/>
    <s v="Synthetic Title 434"/>
    <s v="Unassigned"/>
    <s v="Leonardo Dicaprio"/>
    <x v="7"/>
    <x v="245"/>
    <x v="19"/>
    <x v="0"/>
    <x v="120"/>
    <x v="1"/>
    <x v="1"/>
    <n v="2.7"/>
    <n v="115.22"/>
    <n v="92832000"/>
    <x v="0"/>
  </r>
  <r>
    <s v="S435"/>
    <x v="1"/>
    <s v="Synthetic Title 435"/>
    <s v="Bong Joon Ho"/>
    <s v="Viola Davis, Zendaya, Leonardo Dicaprio"/>
    <x v="0"/>
    <x v="397"/>
    <x v="9"/>
    <x v="4"/>
    <x v="121"/>
    <x v="1"/>
    <x v="3"/>
    <n v="4.0999999999999996"/>
    <n v="64.45"/>
    <n v="88362000"/>
    <x v="0"/>
  </r>
  <r>
    <s v="S436"/>
    <x v="0"/>
    <s v="Synthetic Title 436"/>
    <s v="Greta Gerwig"/>
    <s v="Morgan Freeman"/>
    <x v="5"/>
    <x v="398"/>
    <x v="20"/>
    <x v="1"/>
    <x v="9"/>
    <x v="0"/>
    <x v="4"/>
    <n v="7.7"/>
    <n v="38.07"/>
    <n v="92328000"/>
    <x v="0"/>
  </r>
  <r>
    <s v="S437"/>
    <x v="1"/>
    <s v="Synthetic Title 437"/>
    <s v="Christopher Nolan"/>
    <s v="Tom Hanks"/>
    <x v="3"/>
    <x v="329"/>
    <x v="17"/>
    <x v="2"/>
    <x v="1"/>
    <x v="1"/>
    <x v="1"/>
    <n v="9.6999999999999993"/>
    <n v="108.74"/>
    <n v="58393000"/>
    <x v="0"/>
  </r>
  <r>
    <s v="S438"/>
    <x v="0"/>
    <s v="Synthetic Title 438"/>
    <s v="Ava Duvernay"/>
    <s v="Tom Hanks"/>
    <x v="3"/>
    <x v="399"/>
    <x v="5"/>
    <x v="4"/>
    <x v="7"/>
    <x v="0"/>
    <x v="1"/>
    <n v="9.4"/>
    <n v="117.74"/>
    <n v="1146000"/>
    <x v="1"/>
  </r>
  <r>
    <s v="S439"/>
    <x v="0"/>
    <s v="Synthetic Title 439"/>
    <s v="Martin Scorsese"/>
    <s v="Morgan Freeman"/>
    <x v="3"/>
    <x v="188"/>
    <x v="6"/>
    <x v="5"/>
    <x v="2"/>
    <x v="0"/>
    <x v="3"/>
    <n v="6"/>
    <n v="113.34"/>
    <n v="83958000"/>
    <x v="0"/>
  </r>
  <r>
    <s v="S440"/>
    <x v="0"/>
    <s v="Synthetic Title 440"/>
    <s v="Christopher Nolan"/>
    <s v="Brad Pitt, Tom Hanks, Viola Davis"/>
    <x v="0"/>
    <x v="400"/>
    <x v="31"/>
    <x v="4"/>
    <x v="10"/>
    <x v="0"/>
    <x v="5"/>
    <n v="5.4"/>
    <n v="136.78"/>
    <n v="31405000"/>
    <x v="0"/>
  </r>
  <r>
    <s v="S441"/>
    <x v="0"/>
    <s v="Synthetic Title 441"/>
    <s v="Martin Scorsese"/>
    <s v="Morgan Freeman, Viola Davis"/>
    <x v="3"/>
    <x v="401"/>
    <x v="5"/>
    <x v="0"/>
    <x v="0"/>
    <x v="0"/>
    <x v="5"/>
    <n v="8.6999999999999993"/>
    <n v="17.899999999999999"/>
    <n v="14686000"/>
    <x v="1"/>
  </r>
  <r>
    <s v="S442"/>
    <x v="0"/>
    <s v="Synthetic Title 442"/>
    <s v="Christopher Nolan"/>
    <s v="Tom Hanks, Brad Pitt, Zendaya"/>
    <x v="0"/>
    <x v="402"/>
    <x v="8"/>
    <x v="0"/>
    <x v="2"/>
    <x v="0"/>
    <x v="4"/>
    <n v="5.2"/>
    <n v="3.55"/>
    <n v="29557000"/>
    <x v="1"/>
  </r>
  <r>
    <s v="S443"/>
    <x v="0"/>
    <s v="Synthetic Title 443"/>
    <s v="Greta Gerwig"/>
    <s v="Tom Hanks"/>
    <x v="1"/>
    <x v="403"/>
    <x v="29"/>
    <x v="1"/>
    <x v="10"/>
    <x v="0"/>
    <x v="5"/>
    <n v="8.6999999999999993"/>
    <n v="73.38"/>
    <n v="32536000"/>
    <x v="0"/>
  </r>
  <r>
    <s v="S444"/>
    <x v="1"/>
    <s v="Synthetic Title 444"/>
    <s v="Greta Gerwig"/>
    <s v="Morgan Freeman, Leonardo Dicaprio, Viola Davis"/>
    <x v="7"/>
    <x v="404"/>
    <x v="2"/>
    <x v="1"/>
    <x v="28"/>
    <x v="1"/>
    <x v="5"/>
    <n v="4.9000000000000004"/>
    <n v="63.36"/>
    <n v="14275000"/>
    <x v="0"/>
  </r>
  <r>
    <s v="S445"/>
    <x v="0"/>
    <s v="Synthetic Title 445"/>
    <s v="Bong Joon Ho"/>
    <s v="Unassigned"/>
    <x v="0"/>
    <x v="405"/>
    <x v="15"/>
    <x v="5"/>
    <x v="13"/>
    <x v="0"/>
    <x v="4"/>
    <n v="7.8"/>
    <n v="139.06"/>
    <n v="27851000"/>
    <x v="1"/>
  </r>
  <r>
    <s v="S446"/>
    <x v="1"/>
    <s v="Synthetic Title 446"/>
    <s v="Steven Spielberg"/>
    <s v="Viola Davis, Tom Hanks"/>
    <x v="5"/>
    <x v="406"/>
    <x v="14"/>
    <x v="1"/>
    <x v="69"/>
    <x v="1"/>
    <x v="4"/>
    <n v="9.3000000000000007"/>
    <n v="20.23"/>
    <n v="72102000"/>
    <x v="0"/>
  </r>
  <r>
    <s v="S447"/>
    <x v="1"/>
    <s v="Synthetic Title 447"/>
    <s v="Martin Scorsese"/>
    <s v="Viola Davis, Morgan Freeman, Scarlett Johansson"/>
    <x v="4"/>
    <x v="37"/>
    <x v="15"/>
    <x v="0"/>
    <x v="34"/>
    <x v="1"/>
    <x v="4"/>
    <n v="1.1000000000000001"/>
    <n v="140.44999999999999"/>
    <n v="97828000"/>
    <x v="1"/>
  </r>
  <r>
    <s v="S448"/>
    <x v="0"/>
    <s v="Synthetic Title 448"/>
    <s v="Steven Spielberg"/>
    <s v="Unassigned"/>
    <x v="1"/>
    <x v="407"/>
    <x v="7"/>
    <x v="1"/>
    <x v="2"/>
    <x v="0"/>
    <x v="5"/>
    <n v="8.6999999999999993"/>
    <n v="132.36000000000001"/>
    <n v="46206000"/>
    <x v="0"/>
  </r>
  <r>
    <s v="S449"/>
    <x v="1"/>
    <s v="Synthetic Title 449"/>
    <s v="Greta Gerwig"/>
    <s v="Morgan Freeman"/>
    <x v="2"/>
    <x v="408"/>
    <x v="17"/>
    <x v="3"/>
    <x v="105"/>
    <x v="1"/>
    <x v="3"/>
    <n v="4.8"/>
    <n v="108.92"/>
    <n v="28933000"/>
    <x v="1"/>
  </r>
  <r>
    <s v="S450"/>
    <x v="1"/>
    <s v="Synthetic Title 450"/>
    <s v="Martin Scorsese"/>
    <s v="Unassigned"/>
    <x v="6"/>
    <x v="409"/>
    <x v="21"/>
    <x v="1"/>
    <x v="42"/>
    <x v="1"/>
    <x v="4"/>
    <n v="5.5"/>
    <n v="107.06"/>
    <n v="87416000"/>
    <x v="1"/>
  </r>
  <r>
    <s v="S451"/>
    <x v="1"/>
    <s v="Synthetic Title 451"/>
    <s v="Martin Scorsese"/>
    <s v="Leonardo Dicaprio, Scarlett Johansson, Morgan Freeman"/>
    <x v="4"/>
    <x v="410"/>
    <x v="16"/>
    <x v="0"/>
    <x v="122"/>
    <x v="1"/>
    <x v="1"/>
    <n v="2.4"/>
    <n v="43.17"/>
    <n v="1508000"/>
    <x v="0"/>
  </r>
  <r>
    <s v="S452"/>
    <x v="0"/>
    <s v="Synthetic Title 452"/>
    <s v="Ava Duvernay"/>
    <s v="Scarlett Johansson, Zendaya"/>
    <x v="1"/>
    <x v="107"/>
    <x v="26"/>
    <x v="3"/>
    <x v="13"/>
    <x v="0"/>
    <x v="2"/>
    <n v="9.5"/>
    <n v="15.78"/>
    <n v="30385000"/>
    <x v="0"/>
  </r>
  <r>
    <s v="S453"/>
    <x v="1"/>
    <s v="Synthetic Title 453"/>
    <s v="Christopher Nolan"/>
    <s v="Leonardo Dicaprio, Scarlett Johansson, Viola Davis"/>
    <x v="7"/>
    <x v="411"/>
    <x v="2"/>
    <x v="0"/>
    <x v="19"/>
    <x v="1"/>
    <x v="0"/>
    <n v="6.7"/>
    <n v="60.58"/>
    <n v="9447000"/>
    <x v="1"/>
  </r>
  <r>
    <s v="S454"/>
    <x v="0"/>
    <s v="Synthetic Title 454"/>
    <s v="Ava Duvernay"/>
    <s v="Zendaya"/>
    <x v="7"/>
    <x v="412"/>
    <x v="18"/>
    <x v="0"/>
    <x v="10"/>
    <x v="0"/>
    <x v="0"/>
    <n v="6.8"/>
    <n v="145.16999999999999"/>
    <n v="99801000"/>
    <x v="1"/>
  </r>
  <r>
    <s v="S455"/>
    <x v="1"/>
    <s v="Synthetic Title 455"/>
    <s v="Unassigned"/>
    <s v="Morgan Freeman, Brad Pitt, Viola Davis"/>
    <x v="3"/>
    <x v="413"/>
    <x v="1"/>
    <x v="3"/>
    <x v="24"/>
    <x v="1"/>
    <x v="4"/>
    <n v="4.5"/>
    <n v="148.69"/>
    <n v="27389000"/>
    <x v="0"/>
  </r>
  <r>
    <s v="S456"/>
    <x v="0"/>
    <s v="Synthetic Title 456"/>
    <s v="Greta Gerwig"/>
    <s v="Morgan Freeman, Tom Hanks, Leonardo Dicaprio"/>
    <x v="1"/>
    <x v="414"/>
    <x v="14"/>
    <x v="0"/>
    <x v="4"/>
    <x v="0"/>
    <x v="3"/>
    <n v="999"/>
    <n v="55.99"/>
    <n v="38801000"/>
    <x v="0"/>
  </r>
  <r>
    <s v="S457"/>
    <x v="1"/>
    <s v="Synthetic Title 457"/>
    <s v="Steven Spielberg"/>
    <s v="Viola Davis"/>
    <x v="3"/>
    <x v="4"/>
    <x v="28"/>
    <x v="5"/>
    <x v="95"/>
    <x v="1"/>
    <x v="4"/>
    <n v="7.1"/>
    <n v="97.6"/>
    <n v="73612000"/>
    <x v="0"/>
  </r>
  <r>
    <s v="S458"/>
    <x v="1"/>
    <s v="Synthetic Title 458"/>
    <s v="Bong Joon Ho"/>
    <s v="Zendaya, Viola Davis"/>
    <x v="6"/>
    <x v="415"/>
    <x v="3"/>
    <x v="3"/>
    <x v="71"/>
    <x v="1"/>
    <x v="0"/>
    <n v="4.0999999999999996"/>
    <n v="119.87"/>
    <n v="23440000"/>
    <x v="0"/>
  </r>
  <r>
    <s v="S459"/>
    <x v="1"/>
    <s v="Synthetic Title 459"/>
    <s v="Bong Joon Ho"/>
    <s v="Tom Hanks, Zendaya, Morgan Freeman"/>
    <x v="0"/>
    <x v="416"/>
    <x v="6"/>
    <x v="4"/>
    <x v="5"/>
    <x v="1"/>
    <x v="3"/>
    <n v="7.2"/>
    <n v="96.92"/>
    <n v="37690000"/>
    <x v="0"/>
  </r>
  <r>
    <s v="S460"/>
    <x v="0"/>
    <s v="Synthetic Title 460"/>
    <s v="Ava Duvernay"/>
    <s v="Zendaya, Tom Hanks, Brad Pitt"/>
    <x v="3"/>
    <x v="417"/>
    <x v="21"/>
    <x v="3"/>
    <x v="15"/>
    <x v="0"/>
    <x v="3"/>
    <n v="4.0999999999999996"/>
    <n v="79.02"/>
    <n v="79921000"/>
    <x v="0"/>
  </r>
  <r>
    <s v="S461"/>
    <x v="0"/>
    <s v="Synthetic Title 461"/>
    <s v="Unassigned"/>
    <s v="Brad Pitt"/>
    <x v="0"/>
    <x v="418"/>
    <x v="18"/>
    <x v="5"/>
    <x v="26"/>
    <x v="0"/>
    <x v="2"/>
    <n v="3.7"/>
    <n v="86.34"/>
    <n v="98901000"/>
    <x v="1"/>
  </r>
  <r>
    <s v="S462"/>
    <x v="1"/>
    <s v="Synthetic Title 462"/>
    <s v="Ava Duvernay"/>
    <s v="Tom Hanks"/>
    <x v="0"/>
    <x v="419"/>
    <x v="10"/>
    <x v="2"/>
    <x v="73"/>
    <x v="1"/>
    <x v="0"/>
    <n v="4.0999999999999996"/>
    <n v="49.57"/>
    <n v="38789000"/>
    <x v="1"/>
  </r>
  <r>
    <s v="S463"/>
    <x v="0"/>
    <s v="Synthetic Title 463"/>
    <s v="Bong Joon Ho"/>
    <s v="Viola Davis, Morgan Freeman"/>
    <x v="4"/>
    <x v="420"/>
    <x v="33"/>
    <x v="5"/>
    <x v="7"/>
    <x v="0"/>
    <x v="2"/>
    <n v="7.3"/>
    <n v="18.190000000000001"/>
    <n v="20117000"/>
    <x v="1"/>
  </r>
  <r>
    <s v="S464"/>
    <x v="0"/>
    <s v="Synthetic Title 464"/>
    <s v="Unassigned"/>
    <s v="Zendaya, Brad Pitt, Viola Davis"/>
    <x v="2"/>
    <x v="421"/>
    <x v="4"/>
    <x v="0"/>
    <x v="13"/>
    <x v="0"/>
    <x v="2"/>
    <n v="3.4"/>
    <n v="102.3"/>
    <n v="82583000"/>
    <x v="0"/>
  </r>
  <r>
    <s v="S465"/>
    <x v="1"/>
    <s v="Synthetic Title 465"/>
    <s v="Bong Joon Ho"/>
    <s v="Viola Davis"/>
    <x v="6"/>
    <x v="422"/>
    <x v="26"/>
    <x v="0"/>
    <x v="106"/>
    <x v="1"/>
    <x v="4"/>
    <n v="5.2"/>
    <n v="26.24"/>
    <n v="9796000"/>
    <x v="1"/>
  </r>
  <r>
    <s v="S466"/>
    <x v="1"/>
    <s v="Synthetic Title 466"/>
    <s v="Bong Joon Ho"/>
    <s v="Morgan Freeman"/>
    <x v="2"/>
    <x v="423"/>
    <x v="7"/>
    <x v="1"/>
    <x v="89"/>
    <x v="1"/>
    <x v="2"/>
    <n v="9.5"/>
    <n v="62.43"/>
    <n v="92489000"/>
    <x v="1"/>
  </r>
  <r>
    <s v="S467"/>
    <x v="1"/>
    <s v="Synthetic Title 467"/>
    <s v="Steven Spielberg"/>
    <s v="Morgan Freeman, Brad Pitt"/>
    <x v="3"/>
    <x v="424"/>
    <x v="17"/>
    <x v="3"/>
    <x v="57"/>
    <x v="1"/>
    <x v="4"/>
    <n v="6.4"/>
    <n v="128.09"/>
    <n v="67137000"/>
    <x v="0"/>
  </r>
  <r>
    <s v="S468"/>
    <x v="1"/>
    <s v="Synthetic Title 468"/>
    <s v="Martin Scorsese"/>
    <s v="Viola Davis, Zendaya, Brad Pitt"/>
    <x v="1"/>
    <x v="425"/>
    <x v="27"/>
    <x v="4"/>
    <x v="65"/>
    <x v="1"/>
    <x v="0"/>
    <n v="9.1999999999999993"/>
    <n v="129.77000000000001"/>
    <n v="86357000"/>
    <x v="1"/>
  </r>
  <r>
    <s v="S469"/>
    <x v="0"/>
    <s v="Synthetic Title 469"/>
    <s v="Ava Duvernay"/>
    <s v="Zendaya, Viola Davis, Brad Pitt"/>
    <x v="4"/>
    <x v="426"/>
    <x v="26"/>
    <x v="0"/>
    <x v="15"/>
    <x v="0"/>
    <x v="1"/>
    <n v="9.6999999999999993"/>
    <n v="149.04"/>
    <n v="49870000"/>
    <x v="0"/>
  </r>
  <r>
    <s v="S470"/>
    <x v="1"/>
    <s v="Synthetic Title 470"/>
    <s v="Bong Joon Ho"/>
    <s v="Brad Pitt, Scarlett Johansson, Viola Davis"/>
    <x v="1"/>
    <x v="427"/>
    <x v="24"/>
    <x v="0"/>
    <x v="24"/>
    <x v="1"/>
    <x v="2"/>
    <n v="9.5"/>
    <n v="141.97"/>
    <n v="98268000"/>
    <x v="1"/>
  </r>
  <r>
    <s v="S471"/>
    <x v="1"/>
    <s v="Synthetic Title 471"/>
    <s v="Unassigned"/>
    <s v="Zendaya"/>
    <x v="3"/>
    <x v="302"/>
    <x v="22"/>
    <x v="2"/>
    <x v="1"/>
    <x v="1"/>
    <x v="5"/>
    <n v="8.1999999999999993"/>
    <n v="48.66"/>
    <n v="94977000"/>
    <x v="1"/>
  </r>
  <r>
    <s v="S472"/>
    <x v="1"/>
    <s v="Synthetic Title 472"/>
    <s v="Bong Joon Ho"/>
    <s v="Zendaya, Viola Davis"/>
    <x v="2"/>
    <x v="428"/>
    <x v="3"/>
    <x v="5"/>
    <x v="36"/>
    <x v="1"/>
    <x v="2"/>
    <n v="5.9"/>
    <n v="1.68"/>
    <n v="10435000"/>
    <x v="1"/>
  </r>
  <r>
    <s v="S473"/>
    <x v="0"/>
    <s v="Synthetic Title 473"/>
    <s v="Ava Duvernay"/>
    <s v="Leonardo Dicaprio, Viola Davis"/>
    <x v="4"/>
    <x v="429"/>
    <x v="22"/>
    <x v="4"/>
    <x v="9"/>
    <x v="0"/>
    <x v="2"/>
    <n v="8.5"/>
    <n v="53.17"/>
    <n v="51510000"/>
    <x v="0"/>
  </r>
  <r>
    <s v="S474"/>
    <x v="1"/>
    <s v="Synthetic Title 474"/>
    <s v="Greta Gerwig"/>
    <s v="Brad Pitt, Viola Davis"/>
    <x v="1"/>
    <x v="430"/>
    <x v="13"/>
    <x v="2"/>
    <x v="40"/>
    <x v="1"/>
    <x v="4"/>
    <n v="4.0999999999999996"/>
    <n v="52.93"/>
    <n v="81367000"/>
    <x v="0"/>
  </r>
  <r>
    <s v="S475"/>
    <x v="1"/>
    <s v="Synthetic Title 475"/>
    <s v="Steven Spielberg"/>
    <s v="Zendaya"/>
    <x v="2"/>
    <x v="431"/>
    <x v="22"/>
    <x v="3"/>
    <x v="5"/>
    <x v="1"/>
    <x v="3"/>
    <n v="3.9"/>
    <n v="69.400000000000006"/>
    <n v="59729000"/>
    <x v="1"/>
  </r>
  <r>
    <s v="S476"/>
    <x v="1"/>
    <s v="Synthetic Title 476"/>
    <s v="Greta Gerwig"/>
    <s v="Tom Hanks, Morgan Freeman"/>
    <x v="4"/>
    <x v="22"/>
    <x v="22"/>
    <x v="5"/>
    <x v="22"/>
    <x v="1"/>
    <x v="5"/>
    <n v="2.5"/>
    <n v="63.68"/>
    <n v="10351000"/>
    <x v="0"/>
  </r>
  <r>
    <s v="S477"/>
    <x v="1"/>
    <s v="Synthetic Title 477"/>
    <s v="Greta Gerwig"/>
    <s v="Viola Davis, Tom Hanks, Brad Pitt"/>
    <x v="5"/>
    <x v="432"/>
    <x v="24"/>
    <x v="0"/>
    <x v="54"/>
    <x v="1"/>
    <x v="4"/>
    <n v="4.8"/>
    <n v="103.12"/>
    <n v="39919000"/>
    <x v="0"/>
  </r>
  <r>
    <s v="S478"/>
    <x v="0"/>
    <s v="Synthetic Title 478"/>
    <s v="Bong Joon Ho"/>
    <s v="Leonardo Dicaprio"/>
    <x v="1"/>
    <x v="433"/>
    <x v="28"/>
    <x v="2"/>
    <x v="13"/>
    <x v="0"/>
    <x v="2"/>
    <n v="5.5"/>
    <n v="51.13"/>
    <n v="28420000"/>
    <x v="1"/>
  </r>
  <r>
    <s v="S479"/>
    <x v="1"/>
    <s v="Synthetic Title 479"/>
    <s v="Christopher Nolan"/>
    <s v="Brad Pitt, Morgan Freeman"/>
    <x v="4"/>
    <x v="434"/>
    <x v="27"/>
    <x v="2"/>
    <x v="50"/>
    <x v="1"/>
    <x v="5"/>
    <n v="1"/>
    <n v="131.97999999999999"/>
    <n v="77323000"/>
    <x v="0"/>
  </r>
  <r>
    <s v="S480"/>
    <x v="1"/>
    <s v="Synthetic Title 480"/>
    <s v="Greta Gerwig"/>
    <s v="Morgan Freeman"/>
    <x v="3"/>
    <x v="435"/>
    <x v="11"/>
    <x v="4"/>
    <x v="6"/>
    <x v="1"/>
    <x v="3"/>
    <n v="5.3"/>
    <n v="69.78"/>
    <n v="86883000"/>
    <x v="1"/>
  </r>
  <r>
    <s v="S481"/>
    <x v="0"/>
    <s v="Synthetic Title 481"/>
    <s v="Steven Spielberg"/>
    <s v="Scarlett Johansson"/>
    <x v="3"/>
    <x v="436"/>
    <x v="1"/>
    <x v="0"/>
    <x v="26"/>
    <x v="0"/>
    <x v="5"/>
    <n v="9.9"/>
    <n v="132.63999999999999"/>
    <n v="92828000"/>
    <x v="1"/>
  </r>
  <r>
    <s v="S482"/>
    <x v="1"/>
    <s v="Synthetic Title 482"/>
    <s v="Ava Duvernay"/>
    <s v="Leonardo Dicaprio, Viola Davis"/>
    <x v="3"/>
    <x v="437"/>
    <x v="4"/>
    <x v="5"/>
    <x v="91"/>
    <x v="1"/>
    <x v="2"/>
    <n v="9.3000000000000007"/>
    <n v="123.59"/>
    <n v="75376000"/>
    <x v="1"/>
  </r>
  <r>
    <s v="S483"/>
    <x v="0"/>
    <s v="Synthetic Title 483"/>
    <s v="Unassigned"/>
    <s v="Viola Davis, Leonardo Dicaprio"/>
    <x v="5"/>
    <x v="438"/>
    <x v="4"/>
    <x v="0"/>
    <x v="29"/>
    <x v="0"/>
    <x v="1"/>
    <n v="3.7"/>
    <n v="146.06"/>
    <n v="51177000"/>
    <x v="0"/>
  </r>
  <r>
    <s v="S484"/>
    <x v="1"/>
    <s v="Synthetic Title 484"/>
    <s v="Unassigned"/>
    <s v="Zendaya"/>
    <x v="6"/>
    <x v="439"/>
    <x v="14"/>
    <x v="0"/>
    <x v="49"/>
    <x v="1"/>
    <x v="0"/>
    <n v="2.2999999999999998"/>
    <n v="52.26"/>
    <n v="79670000"/>
    <x v="0"/>
  </r>
  <r>
    <s v="S485"/>
    <x v="0"/>
    <s v="Synthetic Title 485"/>
    <s v="Greta Gerwig"/>
    <s v="Leonardo Dicaprio"/>
    <x v="6"/>
    <x v="440"/>
    <x v="6"/>
    <x v="4"/>
    <x v="15"/>
    <x v="0"/>
    <x v="1"/>
    <n v="6"/>
    <n v="116.69"/>
    <n v="86599000"/>
    <x v="0"/>
  </r>
  <r>
    <s v="S486"/>
    <x v="0"/>
    <s v="Synthetic Title 486"/>
    <s v="Ava Duvernay"/>
    <s v="Brad Pitt, Viola Davis"/>
    <x v="4"/>
    <x v="441"/>
    <x v="12"/>
    <x v="2"/>
    <x v="7"/>
    <x v="0"/>
    <x v="0"/>
    <n v="8.6999999999999993"/>
    <n v="133.38"/>
    <n v="46100000"/>
    <x v="1"/>
  </r>
  <r>
    <s v="S487"/>
    <x v="0"/>
    <s v="Synthetic Title 487"/>
    <s v="Martin Scorsese"/>
    <s v="Morgan Freeman"/>
    <x v="4"/>
    <x v="442"/>
    <x v="9"/>
    <x v="5"/>
    <x v="9"/>
    <x v="0"/>
    <x v="5"/>
    <n v="8.4"/>
    <n v="84.86"/>
    <n v="29438000"/>
    <x v="0"/>
  </r>
  <r>
    <s v="S488"/>
    <x v="1"/>
    <s v="Synthetic Title 488"/>
    <s v="Bong Joon Ho"/>
    <s v="Leonardo Dicaprio, Morgan Freeman, Scarlett Johansson"/>
    <x v="0"/>
    <x v="443"/>
    <x v="9"/>
    <x v="1"/>
    <x v="17"/>
    <x v="1"/>
    <x v="3"/>
    <n v="3.5"/>
    <n v="30.87"/>
    <n v="61684000"/>
    <x v="1"/>
  </r>
  <r>
    <s v="S489"/>
    <x v="0"/>
    <s v="Synthetic Title 489"/>
    <s v="Ava Duvernay"/>
    <s v="Brad Pitt"/>
    <x v="1"/>
    <x v="444"/>
    <x v="25"/>
    <x v="3"/>
    <x v="0"/>
    <x v="0"/>
    <x v="1"/>
    <n v="3.7"/>
    <n v="47.73"/>
    <n v="17176000"/>
    <x v="0"/>
  </r>
  <r>
    <s v="S490"/>
    <x v="1"/>
    <s v="Synthetic Title 490"/>
    <s v="Martin Scorsese"/>
    <s v="Scarlett Johansson, Morgan Freeman, Viola Davis"/>
    <x v="0"/>
    <x v="445"/>
    <x v="22"/>
    <x v="2"/>
    <x v="102"/>
    <x v="1"/>
    <x v="1"/>
    <n v="1"/>
    <n v="56.65"/>
    <n v="60230000"/>
    <x v="0"/>
  </r>
  <r>
    <s v="S491"/>
    <x v="1"/>
    <s v="Synthetic Title 491"/>
    <s v="Christopher Nolan"/>
    <s v="Viola Davis"/>
    <x v="7"/>
    <x v="446"/>
    <x v="12"/>
    <x v="5"/>
    <x v="123"/>
    <x v="1"/>
    <x v="0"/>
    <n v="7.2"/>
    <n v="51.15"/>
    <n v="6592000"/>
    <x v="0"/>
  </r>
  <r>
    <s v="S492"/>
    <x v="1"/>
    <s v="Synthetic Title 492"/>
    <s v="Ava Duvernay"/>
    <s v="Morgan Freeman"/>
    <x v="6"/>
    <x v="447"/>
    <x v="25"/>
    <x v="1"/>
    <x v="32"/>
    <x v="1"/>
    <x v="1"/>
    <n v="1.7"/>
    <n v="88.1"/>
    <n v="20511000"/>
    <x v="1"/>
  </r>
  <r>
    <s v="S493"/>
    <x v="1"/>
    <s v="Synthetic Title 493"/>
    <s v="Martin Scorsese"/>
    <s v="Tom Hanks, Viola Davis, Brad Pitt"/>
    <x v="6"/>
    <x v="448"/>
    <x v="28"/>
    <x v="3"/>
    <x v="61"/>
    <x v="1"/>
    <x v="4"/>
    <n v="5.5"/>
    <n v="102.46"/>
    <n v="34393000"/>
    <x v="0"/>
  </r>
  <r>
    <s v="S494"/>
    <x v="1"/>
    <s v="Synthetic Title 494"/>
    <s v="Martin Scorsese"/>
    <s v="Brad Pitt"/>
    <x v="0"/>
    <x v="449"/>
    <x v="0"/>
    <x v="3"/>
    <x v="124"/>
    <x v="1"/>
    <x v="0"/>
    <n v="7.9"/>
    <n v="39.85"/>
    <n v="88253000"/>
    <x v="0"/>
  </r>
  <r>
    <s v="S495"/>
    <x v="1"/>
    <s v="Synthetic Title 495"/>
    <s v="Bong Joon Ho"/>
    <s v="Leonardo Dicaprio, Viola Davis, Zendaya"/>
    <x v="1"/>
    <x v="450"/>
    <x v="6"/>
    <x v="2"/>
    <x v="60"/>
    <x v="1"/>
    <x v="1"/>
    <n v="3.4"/>
    <n v="128.11000000000001"/>
    <n v="85792000"/>
    <x v="0"/>
  </r>
  <r>
    <s v="S496"/>
    <x v="1"/>
    <s v="Synthetic Title 496"/>
    <s v="Martin Scorsese"/>
    <s v="Tom Hanks"/>
    <x v="5"/>
    <x v="451"/>
    <x v="4"/>
    <x v="4"/>
    <x v="62"/>
    <x v="1"/>
    <x v="1"/>
    <n v="2.7"/>
    <n v="138.54"/>
    <n v="32622000"/>
    <x v="1"/>
  </r>
  <r>
    <s v="S497"/>
    <x v="0"/>
    <s v="Synthetic Title 497"/>
    <s v="Martin Scorsese"/>
    <s v="Viola Davis, Leonardo Dicaprio, Tom Hanks"/>
    <x v="2"/>
    <x v="452"/>
    <x v="15"/>
    <x v="3"/>
    <x v="15"/>
    <x v="0"/>
    <x v="3"/>
    <n v="9.5"/>
    <n v="48.4"/>
    <n v="82539000"/>
    <x v="0"/>
  </r>
  <r>
    <s v="S498"/>
    <x v="1"/>
    <s v="Synthetic Title 498"/>
    <s v="Christopher Nolan"/>
    <s v="Brad Pitt, Viola Davis, Zendaya"/>
    <x v="5"/>
    <x v="453"/>
    <x v="22"/>
    <x v="1"/>
    <x v="122"/>
    <x v="1"/>
    <x v="1"/>
    <n v="2.2000000000000002"/>
    <n v="117"/>
    <n v="10236000"/>
    <x v="0"/>
  </r>
  <r>
    <s v="S499"/>
    <x v="1"/>
    <s v="Synthetic Title 499"/>
    <s v="Greta Gerwig"/>
    <s v="Unassigned"/>
    <x v="7"/>
    <x v="454"/>
    <x v="14"/>
    <x v="4"/>
    <x v="23"/>
    <x v="1"/>
    <x v="4"/>
    <n v="3"/>
    <n v="92.88"/>
    <n v="23575000"/>
    <x v="0"/>
  </r>
  <r>
    <s v="S500"/>
    <x v="1"/>
    <s v="Synthetic Title 500"/>
    <s v="Christopher Nolan"/>
    <s v="Morgan Freeman, Zendaya"/>
    <x v="6"/>
    <x v="455"/>
    <x v="15"/>
    <x v="4"/>
    <x v="125"/>
    <x v="1"/>
    <x v="1"/>
    <n v="1.6"/>
    <n v="112.77"/>
    <n v="6632000"/>
    <x v="1"/>
  </r>
  <r>
    <s v="S501"/>
    <x v="1"/>
    <s v="Synthetic Title 501"/>
    <s v="Ava Duvernay"/>
    <s v="Tom Hanks, Morgan Freeman"/>
    <x v="1"/>
    <x v="456"/>
    <x v="9"/>
    <x v="5"/>
    <x v="98"/>
    <x v="1"/>
    <x v="3"/>
    <n v="8.3000000000000007"/>
    <n v="136"/>
    <n v="42408000"/>
    <x v="0"/>
  </r>
  <r>
    <s v="S502"/>
    <x v="1"/>
    <s v="Synthetic Title 502"/>
    <s v="Ava Duvernay"/>
    <s v="Leonardo Dicaprio, Scarlett Johansson"/>
    <x v="2"/>
    <x v="457"/>
    <x v="3"/>
    <x v="1"/>
    <x v="39"/>
    <x v="1"/>
    <x v="2"/>
    <n v="3.9"/>
    <n v="49.91"/>
    <n v="25260000"/>
    <x v="0"/>
  </r>
  <r>
    <s v="S503"/>
    <x v="1"/>
    <s v="Synthetic Title 503"/>
    <s v="Bong Joon Ho"/>
    <s v="Zendaya"/>
    <x v="5"/>
    <x v="458"/>
    <x v="20"/>
    <x v="4"/>
    <x v="115"/>
    <x v="1"/>
    <x v="5"/>
    <n v="7.7"/>
    <n v="134.34"/>
    <n v="75636000"/>
    <x v="0"/>
  </r>
  <r>
    <s v="S504"/>
    <x v="1"/>
    <s v="Synthetic Title 504"/>
    <s v="Greta Gerwig"/>
    <s v="Leonardo Dicaprio"/>
    <x v="6"/>
    <x v="213"/>
    <x v="15"/>
    <x v="4"/>
    <x v="88"/>
    <x v="1"/>
    <x v="0"/>
    <n v="6.3"/>
    <n v="121.71"/>
    <n v="93716000"/>
    <x v="1"/>
  </r>
  <r>
    <s v="S505"/>
    <x v="1"/>
    <s v="Synthetic Title 505"/>
    <s v="Greta Gerwig"/>
    <s v="Unassigned"/>
    <x v="4"/>
    <x v="459"/>
    <x v="23"/>
    <x v="4"/>
    <x v="66"/>
    <x v="1"/>
    <x v="2"/>
    <n v="7.9"/>
    <n v="117.73"/>
    <n v="13255000"/>
    <x v="0"/>
  </r>
  <r>
    <s v="S506"/>
    <x v="1"/>
    <s v="Synthetic Title 506"/>
    <s v="Martin Scorsese"/>
    <s v="Zendaya, Brad Pitt"/>
    <x v="5"/>
    <x v="460"/>
    <x v="12"/>
    <x v="4"/>
    <x v="115"/>
    <x v="1"/>
    <x v="4"/>
    <n v="5.2"/>
    <n v="20.47"/>
    <n v="100208000"/>
    <x v="0"/>
  </r>
  <r>
    <s v="S507"/>
    <x v="1"/>
    <s v="Synthetic Title 507"/>
    <s v="Steven Spielberg"/>
    <s v="Zendaya"/>
    <x v="7"/>
    <x v="317"/>
    <x v="25"/>
    <x v="5"/>
    <x v="110"/>
    <x v="1"/>
    <x v="3"/>
    <n v="4.7"/>
    <n v="133.22999999999999"/>
    <n v="14198000"/>
    <x v="1"/>
  </r>
  <r>
    <s v="S508"/>
    <x v="0"/>
    <s v="Synthetic Title 508"/>
    <s v="Unassigned"/>
    <s v="Tom Hanks, Scarlett Johansson"/>
    <x v="1"/>
    <x v="461"/>
    <x v="16"/>
    <x v="5"/>
    <x v="10"/>
    <x v="0"/>
    <x v="1"/>
    <n v="4.2"/>
    <n v="32.17"/>
    <n v="60568000"/>
    <x v="0"/>
  </r>
  <r>
    <s v="S509"/>
    <x v="1"/>
    <s v="Synthetic Title 509"/>
    <s v="Greta Gerwig"/>
    <s v="Brad Pitt, Morgan Freeman, Viola Davis"/>
    <x v="4"/>
    <x v="462"/>
    <x v="8"/>
    <x v="3"/>
    <x v="3"/>
    <x v="1"/>
    <x v="0"/>
    <n v="1.8"/>
    <n v="142.19999999999999"/>
    <n v="74434000"/>
    <x v="1"/>
  </r>
  <r>
    <s v="S510"/>
    <x v="1"/>
    <s v="Synthetic Title 510"/>
    <s v="Greta Gerwig"/>
    <s v="Morgan Freeman, Tom Hanks, Brad Pitt"/>
    <x v="0"/>
    <x v="463"/>
    <x v="32"/>
    <x v="5"/>
    <x v="109"/>
    <x v="1"/>
    <x v="0"/>
    <n v="3.2"/>
    <n v="92.97"/>
    <n v="92373000"/>
    <x v="0"/>
  </r>
  <r>
    <s v="S511"/>
    <x v="0"/>
    <s v="Synthetic Title 511"/>
    <s v="Steven Spielberg"/>
    <s v="Tom Hanks"/>
    <x v="5"/>
    <x v="464"/>
    <x v="2"/>
    <x v="3"/>
    <x v="29"/>
    <x v="0"/>
    <x v="4"/>
    <n v="4.3"/>
    <n v="36.54"/>
    <n v="29684000"/>
    <x v="1"/>
  </r>
  <r>
    <s v="S512"/>
    <x v="1"/>
    <s v="Synthetic Title 512"/>
    <s v="Martin Scorsese"/>
    <s v="Scarlett Johansson"/>
    <x v="3"/>
    <x v="465"/>
    <x v="5"/>
    <x v="2"/>
    <x v="23"/>
    <x v="1"/>
    <x v="5"/>
    <n v="4.3"/>
    <n v="75.72"/>
    <n v="87758000"/>
    <x v="0"/>
  </r>
  <r>
    <s v="S513"/>
    <x v="0"/>
    <s v="Synthetic Title 513"/>
    <s v="Steven Spielberg"/>
    <s v="Leonardo Dicaprio, Morgan Freeman, Brad Pitt"/>
    <x v="4"/>
    <x v="466"/>
    <x v="32"/>
    <x v="2"/>
    <x v="7"/>
    <x v="0"/>
    <x v="4"/>
    <n v="8.1"/>
    <n v="9.3699999999999992"/>
    <n v="10485000"/>
    <x v="0"/>
  </r>
  <r>
    <s v="S514"/>
    <x v="1"/>
    <s v="Synthetic Title 514"/>
    <s v="Christopher Nolan"/>
    <s v="Scarlett Johansson"/>
    <x v="7"/>
    <x v="467"/>
    <x v="28"/>
    <x v="2"/>
    <x v="80"/>
    <x v="1"/>
    <x v="4"/>
    <n v="9"/>
    <n v="84.63"/>
    <n v="82933000"/>
    <x v="1"/>
  </r>
  <r>
    <s v="S515"/>
    <x v="0"/>
    <s v="Synthetic Title 515"/>
    <s v="Bong Joon Ho"/>
    <s v="Tom Hanks"/>
    <x v="2"/>
    <x v="468"/>
    <x v="6"/>
    <x v="1"/>
    <x v="13"/>
    <x v="0"/>
    <x v="1"/>
    <n v="8.4"/>
    <n v="101.6"/>
    <n v="94650000"/>
    <x v="1"/>
  </r>
  <r>
    <s v="S516"/>
    <x v="0"/>
    <s v="Synthetic Title 516"/>
    <s v="Ava Duvernay"/>
    <s v="Leonardo Dicaprio"/>
    <x v="6"/>
    <x v="469"/>
    <x v="8"/>
    <x v="3"/>
    <x v="0"/>
    <x v="0"/>
    <x v="3"/>
    <n v="2.7"/>
    <n v="125.24"/>
    <n v="52600000"/>
    <x v="0"/>
  </r>
  <r>
    <s v="S517"/>
    <x v="1"/>
    <s v="Synthetic Title 517"/>
    <s v="Unassigned"/>
    <s v="Viola Davis"/>
    <x v="6"/>
    <x v="470"/>
    <x v="26"/>
    <x v="2"/>
    <x v="122"/>
    <x v="1"/>
    <x v="0"/>
    <n v="6.1"/>
    <n v="94.98"/>
    <n v="47879000"/>
    <x v="0"/>
  </r>
  <r>
    <s v="S518"/>
    <x v="0"/>
    <s v="Synthetic Title 518"/>
    <s v="Bong Joon Ho"/>
    <s v="Scarlett Johansson, Brad Pitt"/>
    <x v="5"/>
    <x v="471"/>
    <x v="5"/>
    <x v="0"/>
    <x v="4"/>
    <x v="0"/>
    <x v="4"/>
    <n v="5.5"/>
    <n v="142.51"/>
    <n v="20348000"/>
    <x v="0"/>
  </r>
  <r>
    <s v="S519"/>
    <x v="1"/>
    <s v="Synthetic Title 519"/>
    <s v="Ava Duvernay"/>
    <s v="Brad Pitt, Morgan Freeman, Viola Davis"/>
    <x v="5"/>
    <x v="472"/>
    <x v="25"/>
    <x v="1"/>
    <x v="85"/>
    <x v="1"/>
    <x v="0"/>
    <n v="5.5"/>
    <n v="143.69999999999999"/>
    <n v="33597000"/>
    <x v="1"/>
  </r>
  <r>
    <s v="S520"/>
    <x v="1"/>
    <s v="Synthetic Title 520"/>
    <s v="Martin Scorsese"/>
    <s v="Tom Hanks, Zendaya, Scarlett Johansson"/>
    <x v="2"/>
    <x v="473"/>
    <x v="4"/>
    <x v="5"/>
    <x v="71"/>
    <x v="1"/>
    <x v="4"/>
    <n v="9.8000000000000007"/>
    <n v="97.94"/>
    <n v="74876000"/>
    <x v="0"/>
  </r>
  <r>
    <s v="S521"/>
    <x v="0"/>
    <s v="Synthetic Title 521"/>
    <s v="Martin Scorsese"/>
    <s v="Zendaya"/>
    <x v="5"/>
    <x v="474"/>
    <x v="13"/>
    <x v="2"/>
    <x v="29"/>
    <x v="0"/>
    <x v="4"/>
    <n v="3.5"/>
    <n v="146.74"/>
    <n v="84770000"/>
    <x v="1"/>
  </r>
  <r>
    <s v="S522"/>
    <x v="0"/>
    <s v="Synthetic Title 522"/>
    <s v="Unassigned"/>
    <s v="Scarlett Johansson, Brad Pitt"/>
    <x v="4"/>
    <x v="475"/>
    <x v="18"/>
    <x v="1"/>
    <x v="29"/>
    <x v="0"/>
    <x v="5"/>
    <n v="8"/>
    <n v="118.19"/>
    <n v="69305000"/>
    <x v="1"/>
  </r>
  <r>
    <s v="S523"/>
    <x v="1"/>
    <s v="Synthetic Title 523"/>
    <s v="Christopher Nolan"/>
    <s v="Viola Davis"/>
    <x v="0"/>
    <x v="476"/>
    <x v="16"/>
    <x v="5"/>
    <x v="63"/>
    <x v="1"/>
    <x v="1"/>
    <n v="9.9"/>
    <n v="1.1100000000000001"/>
    <n v="29874000"/>
    <x v="0"/>
  </r>
  <r>
    <s v="S524"/>
    <x v="1"/>
    <s v="Synthetic Title 524"/>
    <s v="Martin Scorsese"/>
    <s v="Tom Hanks, Leonardo Dicaprio, Viola Davis"/>
    <x v="3"/>
    <x v="477"/>
    <x v="29"/>
    <x v="2"/>
    <x v="72"/>
    <x v="1"/>
    <x v="0"/>
    <n v="5.5"/>
    <n v="107.96"/>
    <n v="60479000"/>
    <x v="0"/>
  </r>
  <r>
    <s v="S525"/>
    <x v="1"/>
    <s v="Synthetic Title 525"/>
    <s v="Ava Duvernay"/>
    <s v="Zendaya, Brad Pitt, Tom Hanks"/>
    <x v="5"/>
    <x v="478"/>
    <x v="33"/>
    <x v="0"/>
    <x v="59"/>
    <x v="1"/>
    <x v="0"/>
    <n v="7.8"/>
    <n v="19.32"/>
    <n v="44791000"/>
    <x v="1"/>
  </r>
  <r>
    <s v="S526"/>
    <x v="1"/>
    <s v="Synthetic Title 526"/>
    <s v="Bong Joon Ho"/>
    <s v="Leonardo Dicaprio, Zendaya, Tom Hanks"/>
    <x v="3"/>
    <x v="479"/>
    <x v="33"/>
    <x v="4"/>
    <x v="55"/>
    <x v="1"/>
    <x v="0"/>
    <n v="5"/>
    <n v="43.17"/>
    <n v="13513000"/>
    <x v="0"/>
  </r>
  <r>
    <s v="S527"/>
    <x v="1"/>
    <s v="Synthetic Title 527"/>
    <s v="Unassigned"/>
    <s v="Unassigned"/>
    <x v="7"/>
    <x v="480"/>
    <x v="6"/>
    <x v="5"/>
    <x v="44"/>
    <x v="1"/>
    <x v="3"/>
    <n v="8.3000000000000007"/>
    <n v="55.51"/>
    <n v="62715000"/>
    <x v="0"/>
  </r>
  <r>
    <s v="S528"/>
    <x v="1"/>
    <s v="Synthetic Title 528"/>
    <s v="Christopher Nolan"/>
    <s v="Tom Hanks, Morgan Freeman, Leonardo Dicaprio"/>
    <x v="4"/>
    <x v="106"/>
    <x v="22"/>
    <x v="0"/>
    <x v="36"/>
    <x v="1"/>
    <x v="2"/>
    <n v="2"/>
    <n v="118.46"/>
    <n v="100389000"/>
    <x v="0"/>
  </r>
  <r>
    <s v="S529"/>
    <x v="1"/>
    <s v="Synthetic Title 529"/>
    <s v="Unassigned"/>
    <s v="Viola Davis, Scarlett Johansson"/>
    <x v="2"/>
    <x v="35"/>
    <x v="10"/>
    <x v="4"/>
    <x v="48"/>
    <x v="1"/>
    <x v="5"/>
    <n v="2.9"/>
    <n v="15.05"/>
    <n v="35794000"/>
    <x v="1"/>
  </r>
  <r>
    <s v="S530"/>
    <x v="0"/>
    <s v="Synthetic Title 530"/>
    <s v="Martin Scorsese"/>
    <s v="Viola Davis"/>
    <x v="2"/>
    <x v="481"/>
    <x v="13"/>
    <x v="4"/>
    <x v="13"/>
    <x v="0"/>
    <x v="0"/>
    <n v="5"/>
    <n v="82.98"/>
    <n v="8514000"/>
    <x v="0"/>
  </r>
  <r>
    <s v="S531"/>
    <x v="1"/>
    <s v="Synthetic Title 531"/>
    <s v="Bong Joon Ho"/>
    <s v="Zendaya, Tom Hanks, Viola Davis"/>
    <x v="0"/>
    <x v="482"/>
    <x v="14"/>
    <x v="2"/>
    <x v="38"/>
    <x v="1"/>
    <x v="3"/>
    <n v="3.5"/>
    <n v="52.11"/>
    <n v="50775000"/>
    <x v="1"/>
  </r>
  <r>
    <s v="S532"/>
    <x v="1"/>
    <s v="Synthetic Title 532"/>
    <s v="Christopher Nolan"/>
    <s v="Zendaya"/>
    <x v="0"/>
    <x v="483"/>
    <x v="27"/>
    <x v="1"/>
    <x v="33"/>
    <x v="1"/>
    <x v="2"/>
    <n v="4.5"/>
    <n v="108.33"/>
    <n v="36409000"/>
    <x v="1"/>
  </r>
  <r>
    <s v="S533"/>
    <x v="1"/>
    <s v="Synthetic Title 533"/>
    <s v="Steven Spielberg"/>
    <s v="Brad Pitt, Leonardo Dicaprio"/>
    <x v="7"/>
    <x v="484"/>
    <x v="10"/>
    <x v="5"/>
    <x v="84"/>
    <x v="1"/>
    <x v="1"/>
    <n v="5.8"/>
    <n v="40.58"/>
    <n v="25875000"/>
    <x v="1"/>
  </r>
  <r>
    <s v="S534"/>
    <x v="1"/>
    <s v="Synthetic Title 534"/>
    <s v="Unassigned"/>
    <s v="Morgan Freeman, Brad Pitt, Viola Davis"/>
    <x v="4"/>
    <x v="485"/>
    <x v="5"/>
    <x v="2"/>
    <x v="28"/>
    <x v="1"/>
    <x v="0"/>
    <n v="3.6"/>
    <n v="80.62"/>
    <n v="70608000"/>
    <x v="0"/>
  </r>
  <r>
    <s v="S535"/>
    <x v="1"/>
    <s v="Synthetic Title 535"/>
    <s v="Greta Gerwig"/>
    <s v="Brad Pitt, Morgan Freeman, Viola Davis"/>
    <x v="2"/>
    <x v="486"/>
    <x v="10"/>
    <x v="0"/>
    <x v="62"/>
    <x v="1"/>
    <x v="2"/>
    <n v="4.7"/>
    <n v="128.38999999999999"/>
    <n v="84761000"/>
    <x v="1"/>
  </r>
  <r>
    <s v="S536"/>
    <x v="1"/>
    <s v="Synthetic Title 536"/>
    <s v="Ava Duvernay"/>
    <s v="Morgan Freeman, Brad Pitt, Scarlett Johansson"/>
    <x v="3"/>
    <x v="55"/>
    <x v="33"/>
    <x v="5"/>
    <x v="42"/>
    <x v="1"/>
    <x v="0"/>
    <n v="2.1"/>
    <n v="83.57"/>
    <n v="48580000"/>
    <x v="1"/>
  </r>
  <r>
    <s v="S537"/>
    <x v="0"/>
    <s v="Synthetic Title 537"/>
    <s v="Greta Gerwig"/>
    <s v="Tom Hanks, Zendaya, Brad Pitt"/>
    <x v="5"/>
    <x v="487"/>
    <x v="27"/>
    <x v="4"/>
    <x v="0"/>
    <x v="0"/>
    <x v="0"/>
    <n v="2"/>
    <n v="129.33000000000001"/>
    <n v="78333000"/>
    <x v="1"/>
  </r>
  <r>
    <s v="S538"/>
    <x v="1"/>
    <s v="Synthetic Title 538"/>
    <s v="Greta Gerwig"/>
    <s v="Zendaya, Viola Davis"/>
    <x v="1"/>
    <x v="488"/>
    <x v="0"/>
    <x v="3"/>
    <x v="124"/>
    <x v="1"/>
    <x v="0"/>
    <n v="2.2000000000000002"/>
    <n v="39.76"/>
    <n v="28884000"/>
    <x v="1"/>
  </r>
  <r>
    <s v="S539"/>
    <x v="1"/>
    <s v="Synthetic Title 539"/>
    <s v="Bong Joon Ho"/>
    <s v="Zendaya, Tom Hanks, Leonardo Dicaprio"/>
    <x v="2"/>
    <x v="489"/>
    <x v="27"/>
    <x v="2"/>
    <x v="121"/>
    <x v="1"/>
    <x v="5"/>
    <n v="6.4"/>
    <n v="67.760000000000005"/>
    <n v="62675000"/>
    <x v="1"/>
  </r>
  <r>
    <s v="S540"/>
    <x v="0"/>
    <s v="Synthetic Title 540"/>
    <s v="Greta Gerwig"/>
    <s v="Tom Hanks, Leonardo Dicaprio, Zendaya"/>
    <x v="2"/>
    <x v="490"/>
    <x v="8"/>
    <x v="0"/>
    <x v="13"/>
    <x v="0"/>
    <x v="3"/>
    <n v="9.8000000000000007"/>
    <n v="145.44"/>
    <n v="2596000"/>
    <x v="0"/>
  </r>
  <r>
    <s v="S541"/>
    <x v="1"/>
    <s v="Synthetic Title 541"/>
    <s v="Christopher Nolan"/>
    <s v="Brad Pitt, Viola Davis"/>
    <x v="6"/>
    <x v="491"/>
    <x v="4"/>
    <x v="0"/>
    <x v="97"/>
    <x v="1"/>
    <x v="5"/>
    <n v="3.3"/>
    <n v="128.13"/>
    <n v="47570000"/>
    <x v="1"/>
  </r>
  <r>
    <s v="S542"/>
    <x v="1"/>
    <s v="Synthetic Title 542"/>
    <s v="Bong Joon Ho"/>
    <s v="Zendaya, Tom Hanks"/>
    <x v="3"/>
    <x v="492"/>
    <x v="0"/>
    <x v="4"/>
    <x v="79"/>
    <x v="1"/>
    <x v="4"/>
    <n v="6.6"/>
    <n v="40.340000000000003"/>
    <n v="10573000"/>
    <x v="0"/>
  </r>
  <r>
    <s v="S543"/>
    <x v="1"/>
    <s v="Synthetic Title 543"/>
    <s v="Christopher Nolan"/>
    <s v="Zendaya"/>
    <x v="2"/>
    <x v="493"/>
    <x v="0"/>
    <x v="2"/>
    <x v="105"/>
    <x v="1"/>
    <x v="0"/>
    <n v="5.8"/>
    <n v="106.04"/>
    <n v="32813000"/>
    <x v="1"/>
  </r>
  <r>
    <s v="S544"/>
    <x v="1"/>
    <s v="Synthetic Title 544"/>
    <s v="Unassigned"/>
    <s v="Morgan Freeman, Viola Davis"/>
    <x v="3"/>
    <x v="494"/>
    <x v="29"/>
    <x v="1"/>
    <x v="36"/>
    <x v="1"/>
    <x v="2"/>
    <n v="3.3"/>
    <n v="98.94"/>
    <n v="13812000"/>
    <x v="1"/>
  </r>
  <r>
    <s v="S545"/>
    <x v="1"/>
    <s v="Synthetic Title 545"/>
    <s v="Ava Duvernay"/>
    <s v="Leonardo Dicaprio, Zendaya, Scarlett Johansson"/>
    <x v="1"/>
    <x v="495"/>
    <x v="33"/>
    <x v="0"/>
    <x v="38"/>
    <x v="1"/>
    <x v="2"/>
    <n v="2.5"/>
    <n v="19.149999999999999"/>
    <n v="3121000"/>
    <x v="0"/>
  </r>
  <r>
    <s v="S546"/>
    <x v="0"/>
    <s v="Synthetic Title 546"/>
    <s v="Bong Joon Ho"/>
    <s v="Viola Davis"/>
    <x v="3"/>
    <x v="481"/>
    <x v="24"/>
    <x v="0"/>
    <x v="2"/>
    <x v="0"/>
    <x v="0"/>
    <n v="6.6"/>
    <n v="25.89"/>
    <n v="26723000"/>
    <x v="1"/>
  </r>
  <r>
    <s v="S547"/>
    <x v="1"/>
    <s v="Synthetic Title 547"/>
    <s v="Martin Scorsese"/>
    <s v="Morgan Freeman, Brad Pitt, Leonardo Dicaprio"/>
    <x v="6"/>
    <x v="496"/>
    <x v="27"/>
    <x v="4"/>
    <x v="8"/>
    <x v="1"/>
    <x v="1"/>
    <n v="7.7"/>
    <n v="64.040000000000006"/>
    <n v="65326000"/>
    <x v="0"/>
  </r>
  <r>
    <s v="S548"/>
    <x v="0"/>
    <s v="Synthetic Title 548"/>
    <s v="Martin Scorsese"/>
    <s v="Zendaya"/>
    <x v="7"/>
    <x v="497"/>
    <x v="7"/>
    <x v="0"/>
    <x v="29"/>
    <x v="0"/>
    <x v="1"/>
    <n v="1.4"/>
    <n v="42.91"/>
    <n v="60624000"/>
    <x v="0"/>
  </r>
  <r>
    <s v="S549"/>
    <x v="1"/>
    <s v="Synthetic Title 549"/>
    <s v="Christopher Nolan"/>
    <s v="Viola Davis, Leonardo Dicaprio, Morgan Freeman"/>
    <x v="6"/>
    <x v="498"/>
    <x v="20"/>
    <x v="4"/>
    <x v="73"/>
    <x v="1"/>
    <x v="0"/>
    <n v="9.6"/>
    <n v="125.06"/>
    <n v="82344000"/>
    <x v="0"/>
  </r>
  <r>
    <s v="S550"/>
    <x v="1"/>
    <s v="Synthetic Title 550"/>
    <s v="Ava Duvernay"/>
    <s v="Zendaya, Tom Hanks, Leonardo Dicaprio"/>
    <x v="2"/>
    <x v="409"/>
    <x v="7"/>
    <x v="1"/>
    <x v="83"/>
    <x v="1"/>
    <x v="0"/>
    <n v="7.8"/>
    <n v="41.05"/>
    <n v="46665000"/>
    <x v="0"/>
  </r>
  <r>
    <s v="S551"/>
    <x v="1"/>
    <s v="Synthetic Title 551"/>
    <s v="Greta Gerwig"/>
    <s v="Scarlett Johansson, Tom Hanks"/>
    <x v="4"/>
    <x v="499"/>
    <x v="11"/>
    <x v="3"/>
    <x v="123"/>
    <x v="1"/>
    <x v="0"/>
    <n v="2.1"/>
    <n v="36.35"/>
    <n v="44424000"/>
    <x v="1"/>
  </r>
  <r>
    <s v="S552"/>
    <x v="1"/>
    <s v="Synthetic Title 552"/>
    <s v="Steven Spielberg"/>
    <s v="Viola Davis, Zendaya, Brad Pitt"/>
    <x v="0"/>
    <x v="500"/>
    <x v="20"/>
    <x v="4"/>
    <x v="19"/>
    <x v="1"/>
    <x v="5"/>
    <n v="9.9"/>
    <n v="74.67"/>
    <n v="43403000"/>
    <x v="0"/>
  </r>
  <r>
    <s v="S553"/>
    <x v="1"/>
    <s v="Synthetic Title 553"/>
    <s v="Ava Duvernay"/>
    <s v="Brad Pitt, Leonardo Dicaprio, Viola Davis"/>
    <x v="3"/>
    <x v="501"/>
    <x v="28"/>
    <x v="2"/>
    <x v="73"/>
    <x v="1"/>
    <x v="0"/>
    <n v="4.9000000000000004"/>
    <n v="29.17"/>
    <n v="65489000"/>
    <x v="1"/>
  </r>
  <r>
    <s v="S554"/>
    <x v="0"/>
    <s v="Synthetic Title 554"/>
    <s v="Steven Spielberg"/>
    <s v="Brad Pitt"/>
    <x v="5"/>
    <x v="502"/>
    <x v="2"/>
    <x v="1"/>
    <x v="29"/>
    <x v="0"/>
    <x v="3"/>
    <n v="3.9"/>
    <n v="86.58"/>
    <n v="37909000"/>
    <x v="1"/>
  </r>
  <r>
    <s v="S555"/>
    <x v="1"/>
    <s v="Synthetic Title 555"/>
    <s v="Bong Joon Ho"/>
    <s v="Viola Davis, Tom Hanks"/>
    <x v="5"/>
    <x v="503"/>
    <x v="14"/>
    <x v="2"/>
    <x v="92"/>
    <x v="1"/>
    <x v="1"/>
    <n v="2.6"/>
    <n v="124.18"/>
    <n v="2531000"/>
    <x v="0"/>
  </r>
  <r>
    <s v="S556"/>
    <x v="1"/>
    <s v="Synthetic Title 556"/>
    <s v="Bong Joon Ho"/>
    <s v="Scarlett Johansson, Morgan Freeman"/>
    <x v="6"/>
    <x v="504"/>
    <x v="26"/>
    <x v="1"/>
    <x v="30"/>
    <x v="1"/>
    <x v="5"/>
    <n v="8.6999999999999993"/>
    <n v="42.27"/>
    <n v="89255000"/>
    <x v="0"/>
  </r>
  <r>
    <s v="S557"/>
    <x v="1"/>
    <s v="Synthetic Title 557"/>
    <s v="Martin Scorsese"/>
    <s v="Brad Pitt"/>
    <x v="0"/>
    <x v="505"/>
    <x v="8"/>
    <x v="4"/>
    <x v="88"/>
    <x v="1"/>
    <x v="5"/>
    <n v="7.8"/>
    <n v="92.13"/>
    <n v="94306000"/>
    <x v="1"/>
  </r>
  <r>
    <s v="S558"/>
    <x v="1"/>
    <s v="Synthetic Title 558"/>
    <s v="Greta Gerwig"/>
    <s v="Zendaya, Viola Davis"/>
    <x v="5"/>
    <x v="506"/>
    <x v="28"/>
    <x v="2"/>
    <x v="49"/>
    <x v="1"/>
    <x v="0"/>
    <n v="8.6999999999999993"/>
    <n v="109.58"/>
    <n v="55178000"/>
    <x v="0"/>
  </r>
  <r>
    <s v="S559"/>
    <x v="0"/>
    <s v="Synthetic Title 559"/>
    <s v="Bong Joon Ho"/>
    <s v="Morgan Freeman, Leonardo Dicaprio"/>
    <x v="7"/>
    <x v="507"/>
    <x v="14"/>
    <x v="3"/>
    <x v="2"/>
    <x v="0"/>
    <x v="5"/>
    <n v="3.1"/>
    <n v="31"/>
    <n v="78107000"/>
    <x v="1"/>
  </r>
  <r>
    <s v="S560"/>
    <x v="0"/>
    <s v="Synthetic Title 560"/>
    <s v="Martin Scorsese"/>
    <s v="Morgan Freeman, Viola Davis, Tom Hanks"/>
    <x v="4"/>
    <x v="508"/>
    <x v="15"/>
    <x v="1"/>
    <x v="10"/>
    <x v="0"/>
    <x v="4"/>
    <n v="5"/>
    <n v="112.77"/>
    <n v="77732000"/>
    <x v="0"/>
  </r>
  <r>
    <s v="S561"/>
    <x v="1"/>
    <s v="Synthetic Title 561"/>
    <s v="Christopher Nolan"/>
    <s v="Zendaya, Scarlett Johansson, Viola Davis"/>
    <x v="3"/>
    <x v="509"/>
    <x v="8"/>
    <x v="2"/>
    <x v="60"/>
    <x v="1"/>
    <x v="0"/>
    <n v="9"/>
    <n v="58.52"/>
    <n v="83358000"/>
    <x v="0"/>
  </r>
  <r>
    <s v="S562"/>
    <x v="0"/>
    <s v="Synthetic Title 562"/>
    <s v="Ava Duvernay"/>
    <s v="Morgan Freeman, Scarlett Johansson"/>
    <x v="2"/>
    <x v="510"/>
    <x v="32"/>
    <x v="3"/>
    <x v="2"/>
    <x v="0"/>
    <x v="1"/>
    <n v="3.4"/>
    <n v="78.48"/>
    <n v="46174000"/>
    <x v="0"/>
  </r>
  <r>
    <s v="S563"/>
    <x v="1"/>
    <s v="Synthetic Title 563"/>
    <s v="Unassigned"/>
    <s v="Brad Pitt, Tom Hanks"/>
    <x v="7"/>
    <x v="511"/>
    <x v="26"/>
    <x v="1"/>
    <x v="109"/>
    <x v="1"/>
    <x v="5"/>
    <n v="9.3000000000000007"/>
    <n v="64.5"/>
    <n v="45626000"/>
    <x v="1"/>
  </r>
  <r>
    <s v="S564"/>
    <x v="0"/>
    <s v="Synthetic Title 564"/>
    <s v="Unassigned"/>
    <s v="Leonardo Dicaprio, Viola Davis"/>
    <x v="3"/>
    <x v="136"/>
    <x v="17"/>
    <x v="3"/>
    <x v="7"/>
    <x v="0"/>
    <x v="0"/>
    <n v="8.1"/>
    <n v="149.81"/>
    <n v="77911000"/>
    <x v="1"/>
  </r>
  <r>
    <s v="S565"/>
    <x v="1"/>
    <s v="Synthetic Title 565"/>
    <s v="Ava Duvernay"/>
    <s v="Unassigned"/>
    <x v="6"/>
    <x v="512"/>
    <x v="31"/>
    <x v="0"/>
    <x v="111"/>
    <x v="1"/>
    <x v="0"/>
    <n v="2.9"/>
    <n v="0.13"/>
    <n v="19502000"/>
    <x v="0"/>
  </r>
  <r>
    <s v="S566"/>
    <x v="1"/>
    <s v="Synthetic Title 566"/>
    <s v="Martin Scorsese"/>
    <s v="Morgan Freeman, Tom Hanks"/>
    <x v="7"/>
    <x v="226"/>
    <x v="26"/>
    <x v="2"/>
    <x v="60"/>
    <x v="1"/>
    <x v="2"/>
    <n v="8.1999999999999993"/>
    <n v="10.18"/>
    <n v="63172000"/>
    <x v="0"/>
  </r>
  <r>
    <s v="S567"/>
    <x v="1"/>
    <s v="Synthetic Title 567"/>
    <s v="Ava Duvernay"/>
    <s v="Viola Davis"/>
    <x v="0"/>
    <x v="513"/>
    <x v="1"/>
    <x v="2"/>
    <x v="40"/>
    <x v="1"/>
    <x v="2"/>
    <n v="2.2999999999999998"/>
    <n v="108.55"/>
    <n v="52616000"/>
    <x v="0"/>
  </r>
  <r>
    <s v="S568"/>
    <x v="0"/>
    <s v="Synthetic Title 568"/>
    <s v="Greta Gerwig"/>
    <s v="Brad Pitt"/>
    <x v="2"/>
    <x v="514"/>
    <x v="6"/>
    <x v="5"/>
    <x v="4"/>
    <x v="0"/>
    <x v="3"/>
    <n v="2.1"/>
    <n v="105.78"/>
    <n v="93527000"/>
    <x v="0"/>
  </r>
  <r>
    <s v="S569"/>
    <x v="0"/>
    <s v="Synthetic Title 569"/>
    <s v="Martin Scorsese"/>
    <s v="Unassigned"/>
    <x v="4"/>
    <x v="515"/>
    <x v="24"/>
    <x v="5"/>
    <x v="2"/>
    <x v="0"/>
    <x v="2"/>
    <n v="9.6999999999999993"/>
    <n v="43.03"/>
    <n v="52427000"/>
    <x v="1"/>
  </r>
  <r>
    <s v="S570"/>
    <x v="1"/>
    <s v="Synthetic Title 570"/>
    <s v="Martin Scorsese"/>
    <s v="Tom Hanks, Brad Pitt, Scarlett Johansson"/>
    <x v="3"/>
    <x v="516"/>
    <x v="14"/>
    <x v="5"/>
    <x v="59"/>
    <x v="1"/>
    <x v="1"/>
    <n v="8.8000000000000007"/>
    <n v="54.93"/>
    <n v="12649000"/>
    <x v="1"/>
  </r>
  <r>
    <s v="S571"/>
    <x v="1"/>
    <s v="Synthetic Title 571"/>
    <s v="Steven Spielberg"/>
    <s v="Zendaya, Leonardo Dicaprio, Viola Davis"/>
    <x v="5"/>
    <x v="517"/>
    <x v="25"/>
    <x v="4"/>
    <x v="57"/>
    <x v="1"/>
    <x v="4"/>
    <n v="2.5"/>
    <n v="66.52"/>
    <n v="2224000"/>
    <x v="1"/>
  </r>
  <r>
    <s v="S572"/>
    <x v="0"/>
    <s v="Synthetic Title 572"/>
    <s v="Bong Joon Ho"/>
    <s v="Scarlett Johansson, Viola Davis, Leonardo Dicaprio"/>
    <x v="2"/>
    <x v="518"/>
    <x v="31"/>
    <x v="5"/>
    <x v="10"/>
    <x v="0"/>
    <x v="5"/>
    <n v="8.3000000000000007"/>
    <n v="86.37"/>
    <n v="87463000"/>
    <x v="0"/>
  </r>
  <r>
    <s v="S573"/>
    <x v="0"/>
    <s v="Synthetic Title 573"/>
    <s v="Bong Joon Ho"/>
    <s v="Leonardo Dicaprio, Viola Davis, Brad Pitt"/>
    <x v="1"/>
    <x v="519"/>
    <x v="2"/>
    <x v="5"/>
    <x v="29"/>
    <x v="0"/>
    <x v="4"/>
    <n v="6.1"/>
    <n v="18.95"/>
    <n v="71983000"/>
    <x v="0"/>
  </r>
  <r>
    <s v="S574"/>
    <x v="1"/>
    <s v="Synthetic Title 574"/>
    <s v="Unassigned"/>
    <s v="Tom Hanks, Scarlett Johansson"/>
    <x v="1"/>
    <x v="520"/>
    <x v="26"/>
    <x v="5"/>
    <x v="32"/>
    <x v="1"/>
    <x v="0"/>
    <n v="1.7"/>
    <n v="18.57"/>
    <n v="31935000"/>
    <x v="1"/>
  </r>
  <r>
    <s v="S575"/>
    <x v="1"/>
    <s v="Synthetic Title 575"/>
    <s v="Ava Duvernay"/>
    <s v="Morgan Freeman, Viola Davis"/>
    <x v="4"/>
    <x v="521"/>
    <x v="33"/>
    <x v="0"/>
    <x v="95"/>
    <x v="1"/>
    <x v="1"/>
    <n v="9.6"/>
    <n v="99.31"/>
    <n v="26790000"/>
    <x v="1"/>
  </r>
  <r>
    <s v="S576"/>
    <x v="0"/>
    <s v="Synthetic Title 576"/>
    <s v="Bong Joon Ho"/>
    <s v="Zendaya, Tom Hanks"/>
    <x v="4"/>
    <x v="522"/>
    <x v="27"/>
    <x v="3"/>
    <x v="2"/>
    <x v="0"/>
    <x v="3"/>
    <n v="1.4"/>
    <n v="129.47999999999999"/>
    <n v="99740000"/>
    <x v="0"/>
  </r>
  <r>
    <s v="S577"/>
    <x v="0"/>
    <s v="Synthetic Title 577"/>
    <s v="Greta Gerwig"/>
    <s v="Unassigned"/>
    <x v="4"/>
    <x v="161"/>
    <x v="27"/>
    <x v="4"/>
    <x v="13"/>
    <x v="0"/>
    <x v="3"/>
    <n v="8.6999999999999993"/>
    <n v="61.81"/>
    <n v="58498000"/>
    <x v="1"/>
  </r>
  <r>
    <s v="S578"/>
    <x v="1"/>
    <s v="Synthetic Title 578"/>
    <s v="Christopher Nolan"/>
    <s v="Tom Hanks, Brad Pitt, Leonardo Dicaprio"/>
    <x v="3"/>
    <x v="523"/>
    <x v="24"/>
    <x v="3"/>
    <x v="66"/>
    <x v="1"/>
    <x v="3"/>
    <n v="1.9"/>
    <n v="54.24"/>
    <n v="7645000"/>
    <x v="1"/>
  </r>
  <r>
    <s v="S579"/>
    <x v="1"/>
    <s v="Synthetic Title 579"/>
    <s v="Greta Gerwig"/>
    <s v="Tom Hanks, Brad Pitt"/>
    <x v="5"/>
    <x v="524"/>
    <x v="2"/>
    <x v="4"/>
    <x v="57"/>
    <x v="1"/>
    <x v="0"/>
    <n v="9.3000000000000007"/>
    <n v="144.03"/>
    <n v="66687000"/>
    <x v="0"/>
  </r>
  <r>
    <s v="S580"/>
    <x v="0"/>
    <s v="Synthetic Title 580"/>
    <s v="Christopher Nolan"/>
    <s v="Brad Pitt"/>
    <x v="1"/>
    <x v="525"/>
    <x v="12"/>
    <x v="5"/>
    <x v="9"/>
    <x v="0"/>
    <x v="1"/>
    <n v="1.3"/>
    <n v="25.81"/>
    <n v="24530000"/>
    <x v="0"/>
  </r>
  <r>
    <s v="S581"/>
    <x v="0"/>
    <s v="Synthetic Title 581"/>
    <s v="Unassigned"/>
    <s v="Viola Davis, Tom Hanks, Scarlett Johansson"/>
    <x v="7"/>
    <x v="526"/>
    <x v="16"/>
    <x v="4"/>
    <x v="29"/>
    <x v="0"/>
    <x v="2"/>
    <n v="9.8000000000000007"/>
    <n v="66.489999999999995"/>
    <n v="35594000"/>
    <x v="0"/>
  </r>
  <r>
    <s v="S582"/>
    <x v="1"/>
    <s v="Synthetic Title 582"/>
    <s v="Martin Scorsese"/>
    <s v="Leonardo Dicaprio, Viola Davis"/>
    <x v="3"/>
    <x v="527"/>
    <x v="1"/>
    <x v="4"/>
    <x v="108"/>
    <x v="1"/>
    <x v="0"/>
    <n v="6.6"/>
    <n v="4.22"/>
    <n v="54827000"/>
    <x v="1"/>
  </r>
  <r>
    <s v="S583"/>
    <x v="1"/>
    <s v="Synthetic Title 583"/>
    <s v="Greta Gerwig"/>
    <s v="Brad Pitt, Tom Hanks, Morgan Freeman"/>
    <x v="7"/>
    <x v="528"/>
    <x v="12"/>
    <x v="4"/>
    <x v="85"/>
    <x v="1"/>
    <x v="4"/>
    <n v="6.3"/>
    <n v="17.84"/>
    <n v="62347000"/>
    <x v="1"/>
  </r>
  <r>
    <s v="S584"/>
    <x v="0"/>
    <s v="Synthetic Title 584"/>
    <s v="Ava Duvernay"/>
    <s v="Viola Davis, Brad Pitt, Leonardo Dicaprio"/>
    <x v="0"/>
    <x v="69"/>
    <x v="21"/>
    <x v="5"/>
    <x v="7"/>
    <x v="0"/>
    <x v="2"/>
    <n v="4.0999999999999996"/>
    <n v="132.91"/>
    <n v="1164000"/>
    <x v="0"/>
  </r>
  <r>
    <s v="S585"/>
    <x v="0"/>
    <s v="Synthetic Title 585"/>
    <s v="Ava Duvernay"/>
    <s v="Morgan Freeman, Brad Pitt"/>
    <x v="4"/>
    <x v="529"/>
    <x v="17"/>
    <x v="4"/>
    <x v="0"/>
    <x v="0"/>
    <x v="5"/>
    <n v="4.3"/>
    <n v="145.11000000000001"/>
    <n v="35644000"/>
    <x v="1"/>
  </r>
  <r>
    <s v="S586"/>
    <x v="1"/>
    <s v="Synthetic Title 586"/>
    <s v="Greta Gerwig"/>
    <s v="Viola Davis"/>
    <x v="6"/>
    <x v="530"/>
    <x v="9"/>
    <x v="0"/>
    <x v="17"/>
    <x v="1"/>
    <x v="3"/>
    <n v="8.3000000000000007"/>
    <n v="147.26"/>
    <n v="90341000"/>
    <x v="1"/>
  </r>
  <r>
    <s v="S587"/>
    <x v="0"/>
    <s v="Synthetic Title 587"/>
    <s v="Ava Duvernay"/>
    <s v="Morgan Freeman"/>
    <x v="2"/>
    <x v="510"/>
    <x v="24"/>
    <x v="3"/>
    <x v="4"/>
    <x v="0"/>
    <x v="3"/>
    <n v="7.7"/>
    <n v="26.16"/>
    <n v="96713000"/>
    <x v="1"/>
  </r>
  <r>
    <s v="S588"/>
    <x v="1"/>
    <s v="Synthetic Title 588"/>
    <s v="Unassigned"/>
    <s v="Unassigned"/>
    <x v="0"/>
    <x v="98"/>
    <x v="15"/>
    <x v="0"/>
    <x v="62"/>
    <x v="1"/>
    <x v="0"/>
    <n v="2.1"/>
    <n v="120.39"/>
    <n v="91341000"/>
    <x v="0"/>
  </r>
  <r>
    <s v="S589"/>
    <x v="1"/>
    <s v="Synthetic Title 589"/>
    <s v="Unassigned"/>
    <s v="Unassigned"/>
    <x v="7"/>
    <x v="531"/>
    <x v="7"/>
    <x v="5"/>
    <x v="20"/>
    <x v="1"/>
    <x v="5"/>
    <n v="9.1"/>
    <n v="132.13"/>
    <n v="93299000"/>
    <x v="1"/>
  </r>
  <r>
    <s v="S590"/>
    <x v="1"/>
    <s v="Synthetic Title 590"/>
    <s v="Bong Joon Ho"/>
    <s v="Zendaya"/>
    <x v="7"/>
    <x v="532"/>
    <x v="7"/>
    <x v="4"/>
    <x v="30"/>
    <x v="1"/>
    <x v="1"/>
    <n v="9.9"/>
    <n v="125.98"/>
    <n v="8285000"/>
    <x v="0"/>
  </r>
  <r>
    <s v="S591"/>
    <x v="1"/>
    <s v="Synthetic Title 591"/>
    <s v="Bong Joon Ho"/>
    <s v="Leonardo Dicaprio"/>
    <x v="1"/>
    <x v="533"/>
    <x v="22"/>
    <x v="4"/>
    <x v="74"/>
    <x v="1"/>
    <x v="0"/>
    <n v="4.3"/>
    <n v="44.53"/>
    <n v="99903000"/>
    <x v="1"/>
  </r>
  <r>
    <s v="S592"/>
    <x v="0"/>
    <s v="Synthetic Title 592"/>
    <s v="Christopher Nolan"/>
    <s v="Scarlett Johansson"/>
    <x v="7"/>
    <x v="534"/>
    <x v="24"/>
    <x v="0"/>
    <x v="9"/>
    <x v="0"/>
    <x v="3"/>
    <n v="3.4"/>
    <n v="123.97"/>
    <n v="40241000"/>
    <x v="1"/>
  </r>
  <r>
    <s v="S593"/>
    <x v="1"/>
    <s v="Synthetic Title 593"/>
    <s v="Bong Joon Ho"/>
    <s v="Zendaya"/>
    <x v="2"/>
    <x v="535"/>
    <x v="27"/>
    <x v="3"/>
    <x v="120"/>
    <x v="1"/>
    <x v="0"/>
    <n v="1.6"/>
    <n v="23.73"/>
    <n v="35438000"/>
    <x v="0"/>
  </r>
  <r>
    <s v="S594"/>
    <x v="0"/>
    <s v="Synthetic Title 594"/>
    <s v="Martin Scorsese"/>
    <s v="Zendaya, Leonardo Dicaprio"/>
    <x v="1"/>
    <x v="536"/>
    <x v="1"/>
    <x v="3"/>
    <x v="0"/>
    <x v="0"/>
    <x v="3"/>
    <n v="1.4"/>
    <n v="99.08"/>
    <n v="81192000"/>
    <x v="1"/>
  </r>
  <r>
    <s v="S595"/>
    <x v="0"/>
    <s v="Synthetic Title 595"/>
    <s v="Christopher Nolan"/>
    <s v="Tom Hanks, Brad Pitt, Zendaya"/>
    <x v="1"/>
    <x v="537"/>
    <x v="25"/>
    <x v="5"/>
    <x v="10"/>
    <x v="0"/>
    <x v="1"/>
    <n v="5.9"/>
    <n v="134.4"/>
    <n v="66422000"/>
    <x v="0"/>
  </r>
  <r>
    <s v="S596"/>
    <x v="1"/>
    <s v="Synthetic Title 596"/>
    <s v="Martin Scorsese"/>
    <s v="Brad Pitt, Zendaya, Viola Davis"/>
    <x v="3"/>
    <x v="538"/>
    <x v="28"/>
    <x v="4"/>
    <x v="94"/>
    <x v="1"/>
    <x v="4"/>
    <n v="9.1999999999999993"/>
    <n v="22.94"/>
    <n v="92110000"/>
    <x v="0"/>
  </r>
  <r>
    <s v="S597"/>
    <x v="0"/>
    <s v="Synthetic Title 597"/>
    <s v="Steven Spielberg"/>
    <s v="Unassigned"/>
    <x v="4"/>
    <x v="539"/>
    <x v="15"/>
    <x v="5"/>
    <x v="13"/>
    <x v="0"/>
    <x v="5"/>
    <n v="4.0999999999999996"/>
    <n v="30"/>
    <n v="57480000"/>
    <x v="0"/>
  </r>
  <r>
    <s v="S598"/>
    <x v="0"/>
    <s v="Synthetic Title 598"/>
    <s v="Martin Scorsese"/>
    <s v="Brad Pitt, Leonardo Dicaprio"/>
    <x v="2"/>
    <x v="540"/>
    <x v="22"/>
    <x v="3"/>
    <x v="13"/>
    <x v="0"/>
    <x v="2"/>
    <n v="8.1999999999999993"/>
    <n v="81.819999999999993"/>
    <n v="7644000"/>
    <x v="0"/>
  </r>
  <r>
    <s v="S599"/>
    <x v="0"/>
    <s v="Synthetic Title 599"/>
    <s v="Steven Spielberg"/>
    <s v="Leonardo Dicaprio, Viola Davis"/>
    <x v="3"/>
    <x v="541"/>
    <x v="9"/>
    <x v="3"/>
    <x v="29"/>
    <x v="0"/>
    <x v="1"/>
    <n v="4.4000000000000004"/>
    <n v="45.36"/>
    <n v="97893000"/>
    <x v="0"/>
  </r>
  <r>
    <s v="S600"/>
    <x v="1"/>
    <s v="Synthetic Title 600"/>
    <s v="Steven Spielberg"/>
    <s v="Leonardo Dicaprio"/>
    <x v="7"/>
    <x v="542"/>
    <x v="29"/>
    <x v="2"/>
    <x v="117"/>
    <x v="1"/>
    <x v="1"/>
    <n v="9.5"/>
    <n v="85.46"/>
    <n v="54722000"/>
    <x v="0"/>
  </r>
  <r>
    <s v="S601"/>
    <x v="1"/>
    <s v="Synthetic Title 601"/>
    <s v="Bong Joon Ho"/>
    <s v="Zendaya"/>
    <x v="7"/>
    <x v="543"/>
    <x v="0"/>
    <x v="5"/>
    <x v="115"/>
    <x v="1"/>
    <x v="1"/>
    <n v="6.1"/>
    <n v="123.13"/>
    <n v="79886000"/>
    <x v="0"/>
  </r>
  <r>
    <s v="S602"/>
    <x v="0"/>
    <s v="Synthetic Title 602"/>
    <s v="Steven Spielberg"/>
    <s v="Brad Pitt, Tom Hanks, Scarlett Johansson"/>
    <x v="0"/>
    <x v="544"/>
    <x v="31"/>
    <x v="1"/>
    <x v="0"/>
    <x v="0"/>
    <x v="4"/>
    <n v="5.5"/>
    <n v="13.7"/>
    <n v="86906000"/>
    <x v="0"/>
  </r>
  <r>
    <s v="S603"/>
    <x v="1"/>
    <s v="Synthetic Title 603"/>
    <s v="Greta Gerwig"/>
    <s v="Tom Hanks"/>
    <x v="1"/>
    <x v="545"/>
    <x v="9"/>
    <x v="0"/>
    <x v="67"/>
    <x v="1"/>
    <x v="1"/>
    <n v="5.0999999999999996"/>
    <n v="25.36"/>
    <n v="24321000"/>
    <x v="0"/>
  </r>
  <r>
    <s v="S604"/>
    <x v="0"/>
    <s v="Synthetic Title 604"/>
    <s v="Ava Duvernay"/>
    <s v="Tom Hanks"/>
    <x v="2"/>
    <x v="546"/>
    <x v="4"/>
    <x v="1"/>
    <x v="26"/>
    <x v="0"/>
    <x v="3"/>
    <n v="3.2"/>
    <n v="41.9"/>
    <n v="13872000"/>
    <x v="1"/>
  </r>
  <r>
    <s v="S605"/>
    <x v="1"/>
    <s v="Synthetic Title 605"/>
    <s v="Steven Spielberg"/>
    <s v="Unassigned"/>
    <x v="1"/>
    <x v="547"/>
    <x v="30"/>
    <x v="2"/>
    <x v="92"/>
    <x v="1"/>
    <x v="3"/>
    <n v="4.2"/>
    <n v="61.59"/>
    <n v="93456000"/>
    <x v="1"/>
  </r>
  <r>
    <s v="S606"/>
    <x v="1"/>
    <s v="Synthetic Title 606"/>
    <s v="Ava Duvernay"/>
    <s v="Brad Pitt, Leonardo Dicaprio"/>
    <x v="1"/>
    <x v="548"/>
    <x v="7"/>
    <x v="3"/>
    <x v="80"/>
    <x v="1"/>
    <x v="5"/>
    <n v="7.1"/>
    <n v="99.41"/>
    <n v="33997000"/>
    <x v="1"/>
  </r>
  <r>
    <s v="S607"/>
    <x v="0"/>
    <s v="Synthetic Title 607"/>
    <s v="Ava Duvernay"/>
    <s v="Zendaya, Tom Hanks, Morgan Freeman"/>
    <x v="1"/>
    <x v="136"/>
    <x v="32"/>
    <x v="3"/>
    <x v="29"/>
    <x v="0"/>
    <x v="1"/>
    <n v="1.4"/>
    <n v="52.18"/>
    <n v="65450000"/>
    <x v="0"/>
  </r>
  <r>
    <s v="S608"/>
    <x v="1"/>
    <s v="Synthetic Title 608"/>
    <s v="Ava Duvernay"/>
    <s v="Brad Pitt, Morgan Freeman, Leonardo Dicaprio"/>
    <x v="2"/>
    <x v="549"/>
    <x v="21"/>
    <x v="0"/>
    <x v="57"/>
    <x v="1"/>
    <x v="2"/>
    <n v="9.1"/>
    <n v="93.99"/>
    <n v="19501000"/>
    <x v="1"/>
  </r>
  <r>
    <s v="S609"/>
    <x v="0"/>
    <s v="Synthetic Title 609"/>
    <s v="Unassigned"/>
    <s v="Viola Davis, Tom Hanks"/>
    <x v="3"/>
    <x v="550"/>
    <x v="25"/>
    <x v="2"/>
    <x v="0"/>
    <x v="0"/>
    <x v="1"/>
    <n v="999"/>
    <n v="105.34"/>
    <n v="73458000"/>
    <x v="0"/>
  </r>
  <r>
    <s v="S610"/>
    <x v="1"/>
    <s v="Synthetic Title 610"/>
    <s v="Ava Duvernay"/>
    <s v="Zendaya, Leonardo Dicaprio, Morgan Freeman"/>
    <x v="2"/>
    <x v="551"/>
    <x v="2"/>
    <x v="2"/>
    <x v="19"/>
    <x v="1"/>
    <x v="1"/>
    <n v="1.6"/>
    <n v="80.27"/>
    <n v="66399000"/>
    <x v="0"/>
  </r>
  <r>
    <s v="S611"/>
    <x v="1"/>
    <s v="Synthetic Title 611"/>
    <s v="Greta Gerwig"/>
    <s v="Zendaya, Scarlett Johansson, Morgan Freeman"/>
    <x v="4"/>
    <x v="552"/>
    <x v="1"/>
    <x v="1"/>
    <x v="70"/>
    <x v="1"/>
    <x v="2"/>
    <n v="9.9"/>
    <n v="69.08"/>
    <n v="22215000"/>
    <x v="1"/>
  </r>
  <r>
    <s v="S612"/>
    <x v="0"/>
    <s v="Synthetic Title 612"/>
    <s v="Ava Duvernay"/>
    <s v="Viola Davis, Zendaya, Morgan Freeman"/>
    <x v="1"/>
    <x v="553"/>
    <x v="20"/>
    <x v="0"/>
    <x v="13"/>
    <x v="0"/>
    <x v="4"/>
    <n v="6.1"/>
    <n v="16.63"/>
    <n v="11307000"/>
    <x v="1"/>
  </r>
  <r>
    <s v="S613"/>
    <x v="1"/>
    <s v="Synthetic Title 613"/>
    <s v="Ava Duvernay"/>
    <s v="Morgan Freeman"/>
    <x v="3"/>
    <x v="554"/>
    <x v="6"/>
    <x v="2"/>
    <x v="17"/>
    <x v="1"/>
    <x v="4"/>
    <n v="5.9"/>
    <n v="29.05"/>
    <n v="93567000"/>
    <x v="0"/>
  </r>
  <r>
    <s v="S614"/>
    <x v="1"/>
    <s v="Synthetic Title 614"/>
    <s v="Christopher Nolan"/>
    <s v="Zendaya, Tom Hanks"/>
    <x v="3"/>
    <x v="555"/>
    <x v="17"/>
    <x v="2"/>
    <x v="5"/>
    <x v="1"/>
    <x v="2"/>
    <n v="3.7"/>
    <n v="113.16"/>
    <n v="39304000"/>
    <x v="0"/>
  </r>
  <r>
    <s v="S615"/>
    <x v="0"/>
    <s v="Synthetic Title 615"/>
    <s v="Ava Duvernay"/>
    <s v="Leonardo Dicaprio, Scarlett Johansson, Morgan Freeman"/>
    <x v="1"/>
    <x v="556"/>
    <x v="12"/>
    <x v="2"/>
    <x v="10"/>
    <x v="0"/>
    <x v="0"/>
    <n v="3.7"/>
    <n v="104.76"/>
    <n v="55219000"/>
    <x v="1"/>
  </r>
  <r>
    <s v="S616"/>
    <x v="0"/>
    <s v="Synthetic Title 616"/>
    <s v="Greta Gerwig"/>
    <s v="Leonardo Dicaprio, Scarlett Johansson, Viola Davis"/>
    <x v="2"/>
    <x v="70"/>
    <x v="17"/>
    <x v="1"/>
    <x v="9"/>
    <x v="0"/>
    <x v="0"/>
    <n v="1.6"/>
    <n v="143.44"/>
    <n v="37553000"/>
    <x v="0"/>
  </r>
  <r>
    <s v="S617"/>
    <x v="0"/>
    <s v="Synthetic Title 617"/>
    <s v="Bong Joon Ho"/>
    <s v="Unassigned"/>
    <x v="2"/>
    <x v="557"/>
    <x v="31"/>
    <x v="5"/>
    <x v="29"/>
    <x v="0"/>
    <x v="3"/>
    <n v="3.7"/>
    <n v="120.64"/>
    <n v="80853000"/>
    <x v="0"/>
  </r>
  <r>
    <s v="S618"/>
    <x v="1"/>
    <s v="Synthetic Title 618"/>
    <s v="Unassigned"/>
    <s v="Viola Davis, Tom Hanks, Scarlett Johansson"/>
    <x v="7"/>
    <x v="558"/>
    <x v="24"/>
    <x v="3"/>
    <x v="6"/>
    <x v="1"/>
    <x v="3"/>
    <n v="6"/>
    <n v="24.45"/>
    <n v="80806000"/>
    <x v="0"/>
  </r>
  <r>
    <s v="S619"/>
    <x v="1"/>
    <s v="Synthetic Title 619"/>
    <s v="Steven Spielberg"/>
    <s v="Leonardo Dicaprio, Brad Pitt"/>
    <x v="5"/>
    <x v="559"/>
    <x v="3"/>
    <x v="5"/>
    <x v="71"/>
    <x v="1"/>
    <x v="3"/>
    <n v="9.8000000000000007"/>
    <n v="133"/>
    <n v="84314000"/>
    <x v="1"/>
  </r>
  <r>
    <s v="S620"/>
    <x v="0"/>
    <s v="Synthetic Title 620"/>
    <s v="Bong Joon Ho"/>
    <s v="Leonardo Dicaprio, Brad Pitt, Scarlett Johansson"/>
    <x v="7"/>
    <x v="560"/>
    <x v="19"/>
    <x v="1"/>
    <x v="15"/>
    <x v="0"/>
    <x v="2"/>
    <n v="6.1"/>
    <n v="7.47"/>
    <n v="96426000"/>
    <x v="1"/>
  </r>
  <r>
    <s v="S621"/>
    <x v="0"/>
    <s v="Synthetic Title 621"/>
    <s v="Unassigned"/>
    <s v="Scarlett Johansson, Zendaya, Leonardo Dicaprio"/>
    <x v="4"/>
    <x v="561"/>
    <x v="17"/>
    <x v="2"/>
    <x v="4"/>
    <x v="0"/>
    <x v="1"/>
    <n v="1.8"/>
    <n v="112.57"/>
    <n v="59907000"/>
    <x v="1"/>
  </r>
  <r>
    <s v="S622"/>
    <x v="1"/>
    <s v="Synthetic Title 622"/>
    <s v="Unassigned"/>
    <s v="Leonardo Dicaprio"/>
    <x v="7"/>
    <x v="193"/>
    <x v="15"/>
    <x v="3"/>
    <x v="80"/>
    <x v="1"/>
    <x v="3"/>
    <n v="9.4"/>
    <n v="71.06"/>
    <n v="71192000"/>
    <x v="0"/>
  </r>
  <r>
    <s v="S623"/>
    <x v="0"/>
    <s v="Synthetic Title 623"/>
    <s v="Bong Joon Ho"/>
    <s v="Scarlett Johansson, Zendaya, Leonardo Dicaprio"/>
    <x v="1"/>
    <x v="562"/>
    <x v="14"/>
    <x v="2"/>
    <x v="26"/>
    <x v="0"/>
    <x v="2"/>
    <n v="2.6"/>
    <n v="69.760000000000005"/>
    <n v="76667000"/>
    <x v="1"/>
  </r>
  <r>
    <s v="S624"/>
    <x v="1"/>
    <s v="Synthetic Title 624"/>
    <s v="Greta Gerwig"/>
    <s v="Brad Pitt, Leonardo Dicaprio"/>
    <x v="1"/>
    <x v="563"/>
    <x v="9"/>
    <x v="4"/>
    <x v="87"/>
    <x v="1"/>
    <x v="2"/>
    <n v="8.6999999999999993"/>
    <n v="111.98"/>
    <n v="61148000"/>
    <x v="0"/>
  </r>
  <r>
    <s v="S625"/>
    <x v="0"/>
    <s v="Synthetic Title 625"/>
    <s v="Bong Joon Ho"/>
    <s v="Viola Davis"/>
    <x v="2"/>
    <x v="564"/>
    <x v="1"/>
    <x v="1"/>
    <x v="29"/>
    <x v="0"/>
    <x v="5"/>
    <n v="4"/>
    <n v="59.46"/>
    <n v="86285000"/>
    <x v="1"/>
  </r>
  <r>
    <s v="S626"/>
    <x v="0"/>
    <s v="Synthetic Title 626"/>
    <s v="Greta Gerwig"/>
    <s v="Brad Pitt, Scarlett Johansson"/>
    <x v="0"/>
    <x v="565"/>
    <x v="28"/>
    <x v="5"/>
    <x v="9"/>
    <x v="0"/>
    <x v="2"/>
    <n v="3"/>
    <n v="2.8"/>
    <n v="75312000"/>
    <x v="0"/>
  </r>
  <r>
    <s v="S627"/>
    <x v="0"/>
    <s v="Synthetic Title 627"/>
    <s v="Ava Duvernay"/>
    <s v="Leonardo Dicaprio, Brad Pitt, Zendaya"/>
    <x v="3"/>
    <x v="566"/>
    <x v="31"/>
    <x v="0"/>
    <x v="29"/>
    <x v="0"/>
    <x v="1"/>
    <n v="9.8000000000000007"/>
    <n v="141.77000000000001"/>
    <n v="68260000"/>
    <x v="1"/>
  </r>
  <r>
    <s v="S628"/>
    <x v="0"/>
    <s v="Synthetic Title 628"/>
    <s v="Bong Joon Ho"/>
    <s v="Scarlett Johansson, Morgan Freeman, Brad Pitt"/>
    <x v="5"/>
    <x v="567"/>
    <x v="7"/>
    <x v="4"/>
    <x v="26"/>
    <x v="0"/>
    <x v="4"/>
    <n v="4.2"/>
    <n v="142.13"/>
    <n v="49225000"/>
    <x v="0"/>
  </r>
  <r>
    <s v="S629"/>
    <x v="1"/>
    <s v="Synthetic Title 629"/>
    <s v="Greta Gerwig"/>
    <s v="Tom Hanks, Morgan Freeman"/>
    <x v="5"/>
    <x v="568"/>
    <x v="18"/>
    <x v="3"/>
    <x v="49"/>
    <x v="1"/>
    <x v="0"/>
    <n v="8.5"/>
    <n v="118.3"/>
    <n v="45903000"/>
    <x v="1"/>
  </r>
  <r>
    <s v="S630"/>
    <x v="1"/>
    <s v="Synthetic Title 630"/>
    <s v="Bong Joon Ho"/>
    <s v="Tom Hanks"/>
    <x v="3"/>
    <x v="569"/>
    <x v="9"/>
    <x v="0"/>
    <x v="126"/>
    <x v="1"/>
    <x v="4"/>
    <n v="3.8"/>
    <n v="12.25"/>
    <n v="67550000"/>
    <x v="0"/>
  </r>
  <r>
    <s v="S631"/>
    <x v="1"/>
    <s v="Synthetic Title 631"/>
    <s v="Bong Joon Ho"/>
    <s v="Viola Davis, Brad Pitt"/>
    <x v="6"/>
    <x v="570"/>
    <x v="21"/>
    <x v="2"/>
    <x v="61"/>
    <x v="1"/>
    <x v="5"/>
    <n v="2.2000000000000002"/>
    <n v="40.65"/>
    <n v="12694000"/>
    <x v="0"/>
  </r>
  <r>
    <s v="S632"/>
    <x v="0"/>
    <s v="Synthetic Title 632"/>
    <s v="Steven Spielberg"/>
    <s v="Brad Pitt, Leonardo Dicaprio, Scarlett Johansson"/>
    <x v="0"/>
    <x v="571"/>
    <x v="9"/>
    <x v="4"/>
    <x v="10"/>
    <x v="0"/>
    <x v="2"/>
    <n v="3.8"/>
    <n v="121.25"/>
    <n v="54156000"/>
    <x v="0"/>
  </r>
  <r>
    <s v="S633"/>
    <x v="0"/>
    <s v="Synthetic Title 633"/>
    <s v="Bong Joon Ho"/>
    <s v="Unassigned"/>
    <x v="6"/>
    <x v="257"/>
    <x v="14"/>
    <x v="2"/>
    <x v="0"/>
    <x v="0"/>
    <x v="1"/>
    <n v="7.5"/>
    <n v="85.84"/>
    <n v="25265000"/>
    <x v="0"/>
  </r>
  <r>
    <s v="S634"/>
    <x v="1"/>
    <s v="Synthetic Title 634"/>
    <s v="Greta Gerwig"/>
    <s v="Tom Hanks, Brad Pitt"/>
    <x v="2"/>
    <x v="572"/>
    <x v="12"/>
    <x v="1"/>
    <x v="64"/>
    <x v="1"/>
    <x v="1"/>
    <n v="8.4"/>
    <n v="34.78"/>
    <n v="82348000"/>
    <x v="0"/>
  </r>
  <r>
    <s v="S635"/>
    <x v="0"/>
    <s v="Synthetic Title 635"/>
    <s v="Bong Joon Ho"/>
    <s v="Zendaya"/>
    <x v="6"/>
    <x v="573"/>
    <x v="30"/>
    <x v="4"/>
    <x v="4"/>
    <x v="0"/>
    <x v="5"/>
    <n v="7.1"/>
    <n v="41.01"/>
    <n v="58404000"/>
    <x v="1"/>
  </r>
  <r>
    <s v="S636"/>
    <x v="1"/>
    <s v="Synthetic Title 636"/>
    <s v="Martin Scorsese"/>
    <s v="Morgan Freeman, Brad Pitt, Scarlett Johansson"/>
    <x v="7"/>
    <x v="574"/>
    <x v="26"/>
    <x v="2"/>
    <x v="11"/>
    <x v="1"/>
    <x v="0"/>
    <n v="9.6"/>
    <n v="107.83"/>
    <n v="32330000"/>
    <x v="0"/>
  </r>
  <r>
    <s v="S637"/>
    <x v="1"/>
    <s v="Synthetic Title 637"/>
    <s v="Greta Gerwig"/>
    <s v="Brad Pitt, Viola Davis, Scarlett Johansson"/>
    <x v="1"/>
    <x v="575"/>
    <x v="15"/>
    <x v="2"/>
    <x v="53"/>
    <x v="1"/>
    <x v="5"/>
    <n v="5.6"/>
    <n v="129.37"/>
    <n v="92570000"/>
    <x v="1"/>
  </r>
  <r>
    <s v="S638"/>
    <x v="1"/>
    <s v="Synthetic Title 638"/>
    <s v="Greta Gerwig"/>
    <s v="Brad Pitt"/>
    <x v="0"/>
    <x v="576"/>
    <x v="1"/>
    <x v="1"/>
    <x v="32"/>
    <x v="1"/>
    <x v="0"/>
    <n v="4.3"/>
    <n v="58.19"/>
    <n v="40681000"/>
    <x v="0"/>
  </r>
  <r>
    <s v="S639"/>
    <x v="0"/>
    <s v="Synthetic Title 639"/>
    <s v="Steven Spielberg"/>
    <s v="Tom Hanks, Zendaya, Brad Pitt"/>
    <x v="3"/>
    <x v="167"/>
    <x v="31"/>
    <x v="1"/>
    <x v="29"/>
    <x v="0"/>
    <x v="1"/>
    <n v="7"/>
    <n v="113.23"/>
    <n v="34597000"/>
    <x v="1"/>
  </r>
  <r>
    <s v="S640"/>
    <x v="0"/>
    <s v="Synthetic Title 640"/>
    <s v="Unassigned"/>
    <s v="Tom Hanks"/>
    <x v="0"/>
    <x v="577"/>
    <x v="5"/>
    <x v="0"/>
    <x v="4"/>
    <x v="0"/>
    <x v="2"/>
    <n v="1.2"/>
    <n v="144.5"/>
    <n v="80296000"/>
    <x v="0"/>
  </r>
  <r>
    <s v="S641"/>
    <x v="0"/>
    <s v="Synthetic Title 641"/>
    <s v="Martin Scorsese"/>
    <s v="Brad Pitt"/>
    <x v="5"/>
    <x v="578"/>
    <x v="19"/>
    <x v="1"/>
    <x v="13"/>
    <x v="0"/>
    <x v="4"/>
    <n v="2.2999999999999998"/>
    <n v="149.46"/>
    <n v="32798000"/>
    <x v="1"/>
  </r>
  <r>
    <s v="S642"/>
    <x v="1"/>
    <s v="Synthetic Title 642"/>
    <s v="Martin Scorsese"/>
    <s v="Unassigned"/>
    <x v="1"/>
    <x v="579"/>
    <x v="1"/>
    <x v="4"/>
    <x v="40"/>
    <x v="1"/>
    <x v="2"/>
    <n v="1.1000000000000001"/>
    <n v="133.78"/>
    <n v="33597000"/>
    <x v="1"/>
  </r>
  <r>
    <s v="S643"/>
    <x v="1"/>
    <s v="Synthetic Title 643"/>
    <s v="Unassigned"/>
    <s v="Zendaya, Morgan Freeman"/>
    <x v="6"/>
    <x v="580"/>
    <x v="4"/>
    <x v="1"/>
    <x v="49"/>
    <x v="1"/>
    <x v="3"/>
    <n v="999"/>
    <n v="17.5"/>
    <n v="28172000"/>
    <x v="1"/>
  </r>
  <r>
    <s v="S644"/>
    <x v="1"/>
    <s v="Synthetic Title 644"/>
    <s v="Martin Scorsese"/>
    <s v="Brad Pitt, Morgan Freeman"/>
    <x v="1"/>
    <x v="581"/>
    <x v="4"/>
    <x v="0"/>
    <x v="87"/>
    <x v="1"/>
    <x v="3"/>
    <n v="2.9"/>
    <n v="119.04"/>
    <n v="33117000"/>
    <x v="1"/>
  </r>
  <r>
    <s v="S645"/>
    <x v="1"/>
    <s v="Synthetic Title 645"/>
    <s v="Greta Gerwig"/>
    <s v="Morgan Freeman, Zendaya, Tom Hanks"/>
    <x v="0"/>
    <x v="320"/>
    <x v="17"/>
    <x v="4"/>
    <x v="50"/>
    <x v="1"/>
    <x v="1"/>
    <n v="3.7"/>
    <n v="119.21"/>
    <n v="43454000"/>
    <x v="0"/>
  </r>
  <r>
    <s v="S646"/>
    <x v="0"/>
    <s v="Synthetic Title 646"/>
    <s v="Christopher Nolan"/>
    <s v="Morgan Freeman, Tom Hanks, Brad Pitt"/>
    <x v="2"/>
    <x v="582"/>
    <x v="14"/>
    <x v="5"/>
    <x v="29"/>
    <x v="0"/>
    <x v="3"/>
    <n v="5.9"/>
    <n v="6.96"/>
    <n v="32110000"/>
    <x v="0"/>
  </r>
  <r>
    <s v="S647"/>
    <x v="1"/>
    <s v="Synthetic Title 647"/>
    <s v="Ava Duvernay"/>
    <s v="Scarlett Johansson, Tom Hanks"/>
    <x v="4"/>
    <x v="583"/>
    <x v="29"/>
    <x v="3"/>
    <x v="98"/>
    <x v="1"/>
    <x v="4"/>
    <n v="8"/>
    <n v="3.52"/>
    <n v="4149000"/>
    <x v="0"/>
  </r>
  <r>
    <s v="S648"/>
    <x v="0"/>
    <s v="Synthetic Title 648"/>
    <s v="Bong Joon Ho"/>
    <s v="Tom Hanks, Morgan Freeman, Brad Pitt"/>
    <x v="6"/>
    <x v="355"/>
    <x v="31"/>
    <x v="4"/>
    <x v="13"/>
    <x v="0"/>
    <x v="3"/>
    <n v="6.5"/>
    <n v="33.56"/>
    <n v="62245000"/>
    <x v="0"/>
  </r>
  <r>
    <s v="S649"/>
    <x v="0"/>
    <s v="Synthetic Title 649"/>
    <s v="Greta Gerwig"/>
    <s v="Scarlett Johansson, Tom Hanks"/>
    <x v="4"/>
    <x v="584"/>
    <x v="8"/>
    <x v="3"/>
    <x v="9"/>
    <x v="0"/>
    <x v="4"/>
    <n v="2.9"/>
    <n v="127.56"/>
    <n v="45506000"/>
    <x v="0"/>
  </r>
  <r>
    <s v="S650"/>
    <x v="0"/>
    <s v="Synthetic Title 650"/>
    <s v="Martin Scorsese"/>
    <s v="Morgan Freeman"/>
    <x v="7"/>
    <x v="585"/>
    <x v="9"/>
    <x v="0"/>
    <x v="15"/>
    <x v="0"/>
    <x v="2"/>
    <n v="7.4"/>
    <n v="17.87"/>
    <n v="79260000"/>
    <x v="1"/>
  </r>
  <r>
    <s v="S651"/>
    <x v="1"/>
    <s v="Synthetic Title 651"/>
    <s v="Unassigned"/>
    <s v="Tom Hanks"/>
    <x v="1"/>
    <x v="342"/>
    <x v="27"/>
    <x v="3"/>
    <x v="113"/>
    <x v="1"/>
    <x v="2"/>
    <n v="1.3"/>
    <n v="105.77"/>
    <n v="32690000"/>
    <x v="0"/>
  </r>
  <r>
    <s v="S652"/>
    <x v="1"/>
    <s v="Synthetic Title 652"/>
    <s v="Unassigned"/>
    <s v="Leonardo Dicaprio, Brad Pitt"/>
    <x v="7"/>
    <x v="187"/>
    <x v="17"/>
    <x v="0"/>
    <x v="113"/>
    <x v="1"/>
    <x v="3"/>
    <n v="1.5"/>
    <n v="8.08"/>
    <n v="24151000"/>
    <x v="0"/>
  </r>
  <r>
    <s v="S653"/>
    <x v="1"/>
    <s v="Synthetic Title 653"/>
    <s v="Ava Duvernay"/>
    <s v="Brad Pitt, Viola Davis, Scarlett Johansson"/>
    <x v="6"/>
    <x v="46"/>
    <x v="7"/>
    <x v="3"/>
    <x v="36"/>
    <x v="1"/>
    <x v="1"/>
    <n v="9.4"/>
    <n v="117.6"/>
    <n v="18660000"/>
    <x v="1"/>
  </r>
  <r>
    <s v="S654"/>
    <x v="1"/>
    <s v="Synthetic Title 654"/>
    <s v="Bong Joon Ho"/>
    <s v="Zendaya, Scarlett Johansson"/>
    <x v="6"/>
    <x v="586"/>
    <x v="26"/>
    <x v="4"/>
    <x v="122"/>
    <x v="1"/>
    <x v="1"/>
    <n v="4.4000000000000004"/>
    <n v="23.31"/>
    <n v="45363000"/>
    <x v="1"/>
  </r>
  <r>
    <s v="S655"/>
    <x v="1"/>
    <s v="Synthetic Title 655"/>
    <s v="Steven Spielberg"/>
    <s v="Viola Davis, Brad Pitt"/>
    <x v="0"/>
    <x v="359"/>
    <x v="9"/>
    <x v="3"/>
    <x v="120"/>
    <x v="1"/>
    <x v="1"/>
    <n v="2.2999999999999998"/>
    <n v="107.79"/>
    <n v="24511000"/>
    <x v="0"/>
  </r>
  <r>
    <s v="S656"/>
    <x v="1"/>
    <s v="Synthetic Title 656"/>
    <s v="Unassigned"/>
    <s v="Morgan Freeman, Zendaya"/>
    <x v="4"/>
    <x v="587"/>
    <x v="4"/>
    <x v="1"/>
    <x v="108"/>
    <x v="1"/>
    <x v="4"/>
    <n v="3.3"/>
    <n v="7.07"/>
    <n v="85526000"/>
    <x v="1"/>
  </r>
  <r>
    <s v="S657"/>
    <x v="0"/>
    <s v="Synthetic Title 657"/>
    <s v="Greta Gerwig"/>
    <s v="Brad Pitt, Tom Hanks"/>
    <x v="2"/>
    <x v="588"/>
    <x v="19"/>
    <x v="0"/>
    <x v="7"/>
    <x v="0"/>
    <x v="0"/>
    <n v="9.3000000000000007"/>
    <n v="59.07"/>
    <n v="35651000"/>
    <x v="0"/>
  </r>
  <r>
    <s v="S658"/>
    <x v="1"/>
    <s v="Synthetic Title 658"/>
    <s v="Bong Joon Ho"/>
    <s v="Leonardo Dicaprio"/>
    <x v="7"/>
    <x v="589"/>
    <x v="17"/>
    <x v="2"/>
    <x v="71"/>
    <x v="1"/>
    <x v="1"/>
    <n v="2"/>
    <n v="124.42"/>
    <n v="78249000"/>
    <x v="1"/>
  </r>
  <r>
    <s v="S659"/>
    <x v="0"/>
    <s v="Synthetic Title 659"/>
    <s v="Unassigned"/>
    <s v="Zendaya"/>
    <x v="2"/>
    <x v="590"/>
    <x v="4"/>
    <x v="5"/>
    <x v="9"/>
    <x v="0"/>
    <x v="4"/>
    <n v="5.3"/>
    <n v="76.5"/>
    <n v="80837000"/>
    <x v="1"/>
  </r>
  <r>
    <s v="S660"/>
    <x v="1"/>
    <s v="Synthetic Title 660"/>
    <s v="Bong Joon Ho"/>
    <s v="Zendaya"/>
    <x v="2"/>
    <x v="591"/>
    <x v="15"/>
    <x v="3"/>
    <x v="58"/>
    <x v="1"/>
    <x v="4"/>
    <n v="7.6"/>
    <n v="110.39"/>
    <n v="75556000"/>
    <x v="0"/>
  </r>
  <r>
    <s v="S661"/>
    <x v="1"/>
    <s v="Synthetic Title 661"/>
    <s v="Greta Gerwig"/>
    <s v="Viola Davis, Zendaya"/>
    <x v="2"/>
    <x v="592"/>
    <x v="12"/>
    <x v="4"/>
    <x v="73"/>
    <x v="1"/>
    <x v="2"/>
    <n v="1.7"/>
    <n v="101.4"/>
    <n v="24504000"/>
    <x v="1"/>
  </r>
  <r>
    <s v="S662"/>
    <x v="1"/>
    <s v="Synthetic Title 662"/>
    <s v="Greta Gerwig"/>
    <s v="Scarlett Johansson, Viola Davis"/>
    <x v="7"/>
    <x v="593"/>
    <x v="11"/>
    <x v="1"/>
    <x v="90"/>
    <x v="1"/>
    <x v="3"/>
    <n v="3"/>
    <n v="47.45"/>
    <n v="76745000"/>
    <x v="0"/>
  </r>
  <r>
    <s v="S663"/>
    <x v="0"/>
    <s v="Synthetic Title 663"/>
    <s v="Steven Spielberg"/>
    <s v="Leonardo Dicaprio, Tom Hanks, Brad Pitt"/>
    <x v="6"/>
    <x v="594"/>
    <x v="8"/>
    <x v="0"/>
    <x v="29"/>
    <x v="0"/>
    <x v="1"/>
    <n v="2.2999999999999998"/>
    <n v="140.59"/>
    <n v="35728000"/>
    <x v="0"/>
  </r>
  <r>
    <s v="S664"/>
    <x v="1"/>
    <s v="Synthetic Title 664"/>
    <s v="Unassigned"/>
    <s v="Unassigned"/>
    <x v="1"/>
    <x v="595"/>
    <x v="16"/>
    <x v="5"/>
    <x v="104"/>
    <x v="1"/>
    <x v="3"/>
    <n v="999"/>
    <n v="47.49"/>
    <n v="12804000"/>
    <x v="1"/>
  </r>
  <r>
    <s v="S665"/>
    <x v="1"/>
    <s v="Synthetic Title 665"/>
    <s v="Ava Duvernay"/>
    <s v="Viola Davis, Tom Hanks, Brad Pitt"/>
    <x v="7"/>
    <x v="596"/>
    <x v="4"/>
    <x v="5"/>
    <x v="41"/>
    <x v="1"/>
    <x v="1"/>
    <n v="7"/>
    <n v="3.34"/>
    <n v="88304000"/>
    <x v="1"/>
  </r>
  <r>
    <s v="S666"/>
    <x v="1"/>
    <s v="Synthetic Title 666"/>
    <s v="Christopher Nolan"/>
    <s v="Viola Davis"/>
    <x v="6"/>
    <x v="240"/>
    <x v="27"/>
    <x v="4"/>
    <x v="58"/>
    <x v="1"/>
    <x v="1"/>
    <n v="5.9"/>
    <n v="86.41"/>
    <n v="48428000"/>
    <x v="1"/>
  </r>
  <r>
    <s v="S667"/>
    <x v="1"/>
    <s v="Synthetic Title 667"/>
    <s v="Unassigned"/>
    <s v="Brad Pitt"/>
    <x v="3"/>
    <x v="597"/>
    <x v="32"/>
    <x v="4"/>
    <x v="126"/>
    <x v="1"/>
    <x v="4"/>
    <n v="5.9"/>
    <n v="120.81"/>
    <n v="57157000"/>
    <x v="0"/>
  </r>
  <r>
    <s v="S668"/>
    <x v="1"/>
    <s v="Synthetic Title 668"/>
    <s v="Martin Scorsese"/>
    <s v="Tom Hanks, Zendaya"/>
    <x v="0"/>
    <x v="598"/>
    <x v="12"/>
    <x v="2"/>
    <x v="32"/>
    <x v="1"/>
    <x v="1"/>
    <n v="9.9"/>
    <n v="96.31"/>
    <n v="13868000"/>
    <x v="0"/>
  </r>
  <r>
    <s v="S669"/>
    <x v="1"/>
    <s v="Synthetic Title 669"/>
    <s v="Steven Spielberg"/>
    <s v="Scarlett Johansson, Viola Davis, Tom Hanks"/>
    <x v="1"/>
    <x v="599"/>
    <x v="26"/>
    <x v="1"/>
    <x v="79"/>
    <x v="1"/>
    <x v="1"/>
    <n v="2.1"/>
    <n v="91.62"/>
    <n v="55825000"/>
    <x v="1"/>
  </r>
  <r>
    <s v="S670"/>
    <x v="0"/>
    <s v="Synthetic Title 670"/>
    <s v="Steven Spielberg"/>
    <s v="Brad Pitt"/>
    <x v="3"/>
    <x v="600"/>
    <x v="15"/>
    <x v="2"/>
    <x v="10"/>
    <x v="0"/>
    <x v="5"/>
    <n v="5.9"/>
    <n v="137.49"/>
    <n v="35251000"/>
    <x v="1"/>
  </r>
  <r>
    <s v="S671"/>
    <x v="0"/>
    <s v="Synthetic Title 671"/>
    <s v="Greta Gerwig"/>
    <s v="Leonardo Dicaprio, Morgan Freeman"/>
    <x v="4"/>
    <x v="601"/>
    <x v="3"/>
    <x v="4"/>
    <x v="9"/>
    <x v="0"/>
    <x v="0"/>
    <n v="5.5"/>
    <n v="76.81"/>
    <n v="86538000"/>
    <x v="0"/>
  </r>
  <r>
    <s v="S672"/>
    <x v="1"/>
    <s v="Synthetic Title 672"/>
    <s v="Bong Joon Ho"/>
    <s v="Viola Davis"/>
    <x v="4"/>
    <x v="602"/>
    <x v="7"/>
    <x v="3"/>
    <x v="67"/>
    <x v="1"/>
    <x v="3"/>
    <n v="5.8"/>
    <n v="84.69"/>
    <n v="41297000"/>
    <x v="1"/>
  </r>
  <r>
    <s v="S673"/>
    <x v="1"/>
    <s v="Synthetic Title 673"/>
    <s v="Christopher Nolan"/>
    <s v="Brad Pitt"/>
    <x v="2"/>
    <x v="603"/>
    <x v="9"/>
    <x v="1"/>
    <x v="37"/>
    <x v="1"/>
    <x v="5"/>
    <n v="7.1"/>
    <n v="54.17"/>
    <n v="51635000"/>
    <x v="1"/>
  </r>
  <r>
    <s v="S674"/>
    <x v="0"/>
    <s v="Synthetic Title 674"/>
    <s v="Martin Scorsese"/>
    <s v="Zendaya"/>
    <x v="7"/>
    <x v="559"/>
    <x v="0"/>
    <x v="2"/>
    <x v="26"/>
    <x v="0"/>
    <x v="2"/>
    <n v="7.7"/>
    <n v="54.95"/>
    <n v="9567000"/>
    <x v="0"/>
  </r>
  <r>
    <s v="S675"/>
    <x v="0"/>
    <s v="Synthetic Title 675"/>
    <s v="Christopher Nolan"/>
    <s v="Zendaya, Leonardo Dicaprio"/>
    <x v="2"/>
    <x v="604"/>
    <x v="20"/>
    <x v="0"/>
    <x v="13"/>
    <x v="0"/>
    <x v="2"/>
    <n v="9.9"/>
    <n v="124.28"/>
    <n v="72549000"/>
    <x v="0"/>
  </r>
  <r>
    <s v="S676"/>
    <x v="0"/>
    <s v="Synthetic Title 676"/>
    <s v="Martin Scorsese"/>
    <s v="Leonardo Dicaprio"/>
    <x v="6"/>
    <x v="605"/>
    <x v="23"/>
    <x v="3"/>
    <x v="9"/>
    <x v="0"/>
    <x v="2"/>
    <n v="4.7"/>
    <n v="126.71"/>
    <n v="49586000"/>
    <x v="0"/>
  </r>
  <r>
    <s v="S677"/>
    <x v="1"/>
    <s v="Synthetic Title 677"/>
    <s v="Steven Spielberg"/>
    <s v="Zendaya"/>
    <x v="3"/>
    <x v="606"/>
    <x v="11"/>
    <x v="0"/>
    <x v="38"/>
    <x v="1"/>
    <x v="3"/>
    <n v="3.5"/>
    <n v="4.8"/>
    <n v="47474000"/>
    <x v="1"/>
  </r>
  <r>
    <s v="S678"/>
    <x v="0"/>
    <s v="Synthetic Title 678"/>
    <s v="Martin Scorsese"/>
    <s v="Zendaya, Tom Hanks"/>
    <x v="0"/>
    <x v="607"/>
    <x v="29"/>
    <x v="2"/>
    <x v="13"/>
    <x v="0"/>
    <x v="5"/>
    <n v="6"/>
    <n v="29.5"/>
    <n v="75607000"/>
    <x v="0"/>
  </r>
  <r>
    <s v="S679"/>
    <x v="1"/>
    <s v="Synthetic Title 679"/>
    <s v="Christopher Nolan"/>
    <s v="Leonardo Dicaprio, Morgan Freeman"/>
    <x v="1"/>
    <x v="438"/>
    <x v="13"/>
    <x v="3"/>
    <x v="47"/>
    <x v="1"/>
    <x v="2"/>
    <n v="1.9"/>
    <n v="108.3"/>
    <n v="11376000"/>
    <x v="1"/>
  </r>
  <r>
    <s v="S680"/>
    <x v="0"/>
    <s v="Synthetic Title 680"/>
    <s v="Unassigned"/>
    <s v="Unassigned"/>
    <x v="0"/>
    <x v="608"/>
    <x v="13"/>
    <x v="4"/>
    <x v="7"/>
    <x v="0"/>
    <x v="1"/>
    <n v="5.3"/>
    <n v="141.83000000000001"/>
    <n v="62929000"/>
    <x v="1"/>
  </r>
  <r>
    <s v="S681"/>
    <x v="1"/>
    <s v="Synthetic Title 681"/>
    <s v="Unassigned"/>
    <s v="Unassigned"/>
    <x v="6"/>
    <x v="609"/>
    <x v="29"/>
    <x v="5"/>
    <x v="37"/>
    <x v="1"/>
    <x v="0"/>
    <n v="2"/>
    <n v="103.04"/>
    <n v="9390000"/>
    <x v="1"/>
  </r>
  <r>
    <s v="S682"/>
    <x v="1"/>
    <s v="Synthetic Title 682"/>
    <s v="Martin Scorsese"/>
    <s v="Viola Davis, Zendaya, Tom Hanks"/>
    <x v="3"/>
    <x v="610"/>
    <x v="17"/>
    <x v="4"/>
    <x v="95"/>
    <x v="1"/>
    <x v="0"/>
    <n v="7.5"/>
    <n v="10.97"/>
    <n v="24987000"/>
    <x v="0"/>
  </r>
  <r>
    <s v="S683"/>
    <x v="0"/>
    <s v="Synthetic Title 683"/>
    <s v="Unassigned"/>
    <s v="Zendaya, Leonardo Dicaprio, Morgan Freeman"/>
    <x v="0"/>
    <x v="611"/>
    <x v="0"/>
    <x v="0"/>
    <x v="10"/>
    <x v="0"/>
    <x v="1"/>
    <n v="9.1999999999999993"/>
    <n v="125.88"/>
    <n v="92303000"/>
    <x v="0"/>
  </r>
  <r>
    <s v="S684"/>
    <x v="0"/>
    <s v="Synthetic Title 684"/>
    <s v="Steven Spielberg"/>
    <s v="Viola Davis"/>
    <x v="0"/>
    <x v="612"/>
    <x v="29"/>
    <x v="2"/>
    <x v="10"/>
    <x v="0"/>
    <x v="0"/>
    <n v="4.5"/>
    <n v="91.65"/>
    <n v="35457000"/>
    <x v="1"/>
  </r>
  <r>
    <s v="S685"/>
    <x v="1"/>
    <s v="Synthetic Title 685"/>
    <s v="Steven Spielberg"/>
    <s v="Tom Hanks, Zendaya, Leonardo Dicaprio"/>
    <x v="0"/>
    <x v="134"/>
    <x v="24"/>
    <x v="0"/>
    <x v="123"/>
    <x v="1"/>
    <x v="4"/>
    <n v="7.6"/>
    <n v="34.770000000000003"/>
    <n v="40924000"/>
    <x v="1"/>
  </r>
  <r>
    <s v="S686"/>
    <x v="1"/>
    <s v="Synthetic Title 686"/>
    <s v="Greta Gerwig"/>
    <s v="Zendaya, Leonardo Dicaprio"/>
    <x v="5"/>
    <x v="613"/>
    <x v="26"/>
    <x v="0"/>
    <x v="50"/>
    <x v="1"/>
    <x v="0"/>
    <n v="5.9"/>
    <n v="14.44"/>
    <n v="63903000"/>
    <x v="1"/>
  </r>
  <r>
    <s v="S687"/>
    <x v="0"/>
    <s v="Synthetic Title 687"/>
    <s v="Martin Scorsese"/>
    <s v="Zendaya, Viola Davis"/>
    <x v="6"/>
    <x v="614"/>
    <x v="19"/>
    <x v="1"/>
    <x v="9"/>
    <x v="0"/>
    <x v="3"/>
    <n v="999"/>
    <n v="81.97"/>
    <n v="26610000"/>
    <x v="1"/>
  </r>
  <r>
    <s v="S688"/>
    <x v="1"/>
    <s v="Synthetic Title 688"/>
    <s v="Steven Spielberg"/>
    <s v="Viola Davis, Brad Pitt"/>
    <x v="7"/>
    <x v="305"/>
    <x v="0"/>
    <x v="5"/>
    <x v="103"/>
    <x v="1"/>
    <x v="5"/>
    <n v="7.6"/>
    <n v="83.83"/>
    <n v="69457000"/>
    <x v="1"/>
  </r>
  <r>
    <s v="S689"/>
    <x v="0"/>
    <s v="Synthetic Title 689"/>
    <s v="Bong Joon Ho"/>
    <s v="Morgan Freeman, Zendaya"/>
    <x v="2"/>
    <x v="615"/>
    <x v="16"/>
    <x v="5"/>
    <x v="2"/>
    <x v="0"/>
    <x v="0"/>
    <n v="8.5"/>
    <n v="146.66"/>
    <n v="58940000"/>
    <x v="1"/>
  </r>
  <r>
    <s v="S690"/>
    <x v="1"/>
    <s v="Synthetic Title 690"/>
    <s v="Ava Duvernay"/>
    <s v="Morgan Freeman"/>
    <x v="0"/>
    <x v="616"/>
    <x v="24"/>
    <x v="4"/>
    <x v="82"/>
    <x v="1"/>
    <x v="3"/>
    <n v="6.2"/>
    <n v="63.92"/>
    <n v="33633000"/>
    <x v="0"/>
  </r>
  <r>
    <s v="S691"/>
    <x v="1"/>
    <s v="Synthetic Title 691"/>
    <s v="Martin Scorsese"/>
    <s v="Viola Davis, Leonardo Dicaprio"/>
    <x v="7"/>
    <x v="617"/>
    <x v="28"/>
    <x v="0"/>
    <x v="47"/>
    <x v="1"/>
    <x v="2"/>
    <n v="1.6"/>
    <n v="96.07"/>
    <n v="96247000"/>
    <x v="1"/>
  </r>
  <r>
    <s v="S692"/>
    <x v="0"/>
    <s v="Synthetic Title 692"/>
    <s v="Ava Duvernay"/>
    <s v="Viola Davis, Tom Hanks"/>
    <x v="4"/>
    <x v="618"/>
    <x v="9"/>
    <x v="2"/>
    <x v="4"/>
    <x v="0"/>
    <x v="5"/>
    <n v="5.5"/>
    <n v="29.42"/>
    <n v="97889000"/>
    <x v="0"/>
  </r>
  <r>
    <s v="S693"/>
    <x v="1"/>
    <s v="Synthetic Title 693"/>
    <s v="Martin Scorsese"/>
    <s v="Zendaya, Scarlett Johansson, Tom Hanks"/>
    <x v="6"/>
    <x v="619"/>
    <x v="15"/>
    <x v="5"/>
    <x v="69"/>
    <x v="1"/>
    <x v="5"/>
    <n v="3"/>
    <n v="18.29"/>
    <n v="76164000"/>
    <x v="0"/>
  </r>
  <r>
    <s v="S694"/>
    <x v="1"/>
    <s v="Synthetic Title 694"/>
    <s v="Bong Joon Ho"/>
    <s v="Scarlett Johansson, Viola Davis"/>
    <x v="7"/>
    <x v="620"/>
    <x v="23"/>
    <x v="4"/>
    <x v="22"/>
    <x v="1"/>
    <x v="5"/>
    <n v="2.4"/>
    <n v="86.21"/>
    <n v="63670000"/>
    <x v="1"/>
  </r>
  <r>
    <s v="S695"/>
    <x v="1"/>
    <s v="Synthetic Title 695"/>
    <s v="Christopher Nolan"/>
    <s v="Morgan Freeman, Leonardo Dicaprio"/>
    <x v="6"/>
    <x v="621"/>
    <x v="27"/>
    <x v="4"/>
    <x v="106"/>
    <x v="1"/>
    <x v="3"/>
    <n v="9.9"/>
    <n v="12.03"/>
    <n v="61832000"/>
    <x v="0"/>
  </r>
  <r>
    <s v="S696"/>
    <x v="0"/>
    <s v="Synthetic Title 696"/>
    <s v="Greta Gerwig"/>
    <s v="Zendaya, Morgan Freeman, Leonardo Dicaprio"/>
    <x v="4"/>
    <x v="622"/>
    <x v="7"/>
    <x v="3"/>
    <x v="7"/>
    <x v="0"/>
    <x v="0"/>
    <n v="4.0999999999999996"/>
    <n v="58.26"/>
    <n v="24683000"/>
    <x v="0"/>
  </r>
  <r>
    <s v="S697"/>
    <x v="1"/>
    <s v="Synthetic Title 697"/>
    <s v="Martin Scorsese"/>
    <s v="Morgan Freeman, Brad Pitt"/>
    <x v="0"/>
    <x v="623"/>
    <x v="0"/>
    <x v="1"/>
    <x v="56"/>
    <x v="1"/>
    <x v="3"/>
    <n v="8.1999999999999993"/>
    <n v="89.1"/>
    <n v="7835000"/>
    <x v="1"/>
  </r>
  <r>
    <s v="S698"/>
    <x v="0"/>
    <s v="Synthetic Title 698"/>
    <s v="Martin Scorsese"/>
    <s v="Leonardo Dicaprio, Zendaya"/>
    <x v="6"/>
    <x v="441"/>
    <x v="25"/>
    <x v="4"/>
    <x v="0"/>
    <x v="0"/>
    <x v="2"/>
    <n v="4.3"/>
    <n v="74.09"/>
    <n v="66453000"/>
    <x v="1"/>
  </r>
  <r>
    <s v="S699"/>
    <x v="1"/>
    <s v="Synthetic Title 699"/>
    <s v="Bong Joon Ho"/>
    <s v="Brad Pitt, Morgan Freeman, Zendaya"/>
    <x v="6"/>
    <x v="624"/>
    <x v="16"/>
    <x v="5"/>
    <x v="14"/>
    <x v="1"/>
    <x v="1"/>
    <n v="1.5"/>
    <n v="69.98"/>
    <n v="35399000"/>
    <x v="1"/>
  </r>
  <r>
    <s v="S700"/>
    <x v="0"/>
    <s v="Synthetic Title 700"/>
    <s v="Unassigned"/>
    <s v="Zendaya, Brad Pitt"/>
    <x v="5"/>
    <x v="625"/>
    <x v="6"/>
    <x v="4"/>
    <x v="10"/>
    <x v="0"/>
    <x v="5"/>
    <n v="6.3"/>
    <n v="31.02"/>
    <n v="70948000"/>
    <x v="0"/>
  </r>
  <r>
    <s v="S701"/>
    <x v="1"/>
    <s v="Synthetic Title 701"/>
    <s v="Bong Joon Ho"/>
    <s v="Viola Davis, Scarlett Johansson"/>
    <x v="0"/>
    <x v="626"/>
    <x v="20"/>
    <x v="2"/>
    <x v="84"/>
    <x v="1"/>
    <x v="3"/>
    <n v="7"/>
    <n v="23.67"/>
    <n v="23111000"/>
    <x v="1"/>
  </r>
  <r>
    <s v="S702"/>
    <x v="0"/>
    <s v="Synthetic Title 702"/>
    <s v="Greta Gerwig"/>
    <s v="Viola Davis, Leonardo Dicaprio, Morgan Freeman"/>
    <x v="3"/>
    <x v="627"/>
    <x v="8"/>
    <x v="0"/>
    <x v="7"/>
    <x v="0"/>
    <x v="0"/>
    <n v="1.5"/>
    <n v="37.29"/>
    <n v="100713000"/>
    <x v="1"/>
  </r>
  <r>
    <s v="S703"/>
    <x v="1"/>
    <s v="Synthetic Title 703"/>
    <s v="Unassigned"/>
    <s v="Viola Davis, Scarlett Johansson"/>
    <x v="4"/>
    <x v="628"/>
    <x v="24"/>
    <x v="2"/>
    <x v="110"/>
    <x v="1"/>
    <x v="1"/>
    <n v="4.9000000000000004"/>
    <n v="24.02"/>
    <n v="20529000"/>
    <x v="1"/>
  </r>
  <r>
    <s v="S704"/>
    <x v="0"/>
    <s v="Synthetic Title 704"/>
    <s v="Greta Gerwig"/>
    <s v="Brad Pitt"/>
    <x v="5"/>
    <x v="629"/>
    <x v="16"/>
    <x v="1"/>
    <x v="4"/>
    <x v="0"/>
    <x v="3"/>
    <n v="3.6"/>
    <n v="149.31"/>
    <n v="93498000"/>
    <x v="0"/>
  </r>
  <r>
    <s v="S705"/>
    <x v="0"/>
    <s v="Synthetic Title 705"/>
    <s v="Christopher Nolan"/>
    <s v="Morgan Freeman, Scarlett Johansson"/>
    <x v="0"/>
    <x v="342"/>
    <x v="13"/>
    <x v="4"/>
    <x v="0"/>
    <x v="0"/>
    <x v="5"/>
    <n v="3.4"/>
    <n v="84.79"/>
    <n v="34975000"/>
    <x v="0"/>
  </r>
  <r>
    <s v="S706"/>
    <x v="0"/>
    <s v="Synthetic Title 706"/>
    <s v="Christopher Nolan"/>
    <s v="Tom Hanks, Brad Pitt, Scarlett Johansson"/>
    <x v="7"/>
    <x v="630"/>
    <x v="28"/>
    <x v="2"/>
    <x v="26"/>
    <x v="0"/>
    <x v="3"/>
    <n v="9.6999999999999993"/>
    <n v="22.85"/>
    <n v="2356000"/>
    <x v="1"/>
  </r>
  <r>
    <s v="S707"/>
    <x v="0"/>
    <s v="Synthetic Title 707"/>
    <s v="Unassigned"/>
    <s v="Unassigned"/>
    <x v="5"/>
    <x v="631"/>
    <x v="2"/>
    <x v="1"/>
    <x v="15"/>
    <x v="0"/>
    <x v="4"/>
    <n v="9.5"/>
    <n v="39.479999999999997"/>
    <n v="61409000"/>
    <x v="1"/>
  </r>
  <r>
    <s v="S708"/>
    <x v="1"/>
    <s v="Synthetic Title 708"/>
    <s v="Christopher Nolan"/>
    <s v="Scarlett Johansson, Tom Hanks, Zendaya"/>
    <x v="6"/>
    <x v="632"/>
    <x v="4"/>
    <x v="0"/>
    <x v="93"/>
    <x v="1"/>
    <x v="0"/>
    <n v="5.0999999999999996"/>
    <n v="147.83000000000001"/>
    <n v="19562000"/>
    <x v="1"/>
  </r>
  <r>
    <s v="S709"/>
    <x v="0"/>
    <s v="Synthetic Title 709"/>
    <s v="Steven Spielberg"/>
    <s v="Brad Pitt, Zendaya"/>
    <x v="7"/>
    <x v="633"/>
    <x v="16"/>
    <x v="0"/>
    <x v="13"/>
    <x v="0"/>
    <x v="1"/>
    <n v="6"/>
    <n v="133.25"/>
    <n v="58660000"/>
    <x v="0"/>
  </r>
  <r>
    <s v="S710"/>
    <x v="1"/>
    <s v="Synthetic Title 710"/>
    <s v="Bong Joon Ho"/>
    <s v="Unassigned"/>
    <x v="1"/>
    <x v="358"/>
    <x v="2"/>
    <x v="2"/>
    <x v="98"/>
    <x v="1"/>
    <x v="1"/>
    <n v="1.4"/>
    <n v="127.57"/>
    <n v="33638000"/>
    <x v="1"/>
  </r>
  <r>
    <s v="S711"/>
    <x v="1"/>
    <s v="Synthetic Title 711"/>
    <s v="Steven Spielberg"/>
    <s v="Unassigned"/>
    <x v="1"/>
    <x v="634"/>
    <x v="32"/>
    <x v="2"/>
    <x v="127"/>
    <x v="1"/>
    <x v="2"/>
    <n v="7"/>
    <n v="3.69"/>
    <n v="31446000"/>
    <x v="0"/>
  </r>
  <r>
    <s v="S712"/>
    <x v="0"/>
    <s v="Synthetic Title 712"/>
    <s v="Christopher Nolan"/>
    <s v="Brad Pitt, Zendaya, Scarlett Johansson"/>
    <x v="7"/>
    <x v="635"/>
    <x v="1"/>
    <x v="1"/>
    <x v="2"/>
    <x v="0"/>
    <x v="3"/>
    <n v="8.9"/>
    <n v="124.72"/>
    <n v="79285000"/>
    <x v="0"/>
  </r>
  <r>
    <s v="S713"/>
    <x v="1"/>
    <s v="Synthetic Title 713"/>
    <s v="Christopher Nolan"/>
    <s v="Zendaya"/>
    <x v="6"/>
    <x v="636"/>
    <x v="29"/>
    <x v="1"/>
    <x v="98"/>
    <x v="1"/>
    <x v="0"/>
    <n v="999"/>
    <n v="130.65"/>
    <n v="20557000"/>
    <x v="0"/>
  </r>
  <r>
    <s v="S714"/>
    <x v="0"/>
    <s v="Synthetic Title 714"/>
    <s v="Martin Scorsese"/>
    <s v="Tom Hanks"/>
    <x v="6"/>
    <x v="637"/>
    <x v="25"/>
    <x v="3"/>
    <x v="13"/>
    <x v="0"/>
    <x v="0"/>
    <n v="7.3"/>
    <n v="111.11"/>
    <n v="50452000"/>
    <x v="1"/>
  </r>
  <r>
    <s v="S715"/>
    <x v="0"/>
    <s v="Synthetic Title 715"/>
    <s v="Christopher Nolan"/>
    <s v="Morgan Freeman, Scarlett Johansson, Zendaya"/>
    <x v="3"/>
    <x v="310"/>
    <x v="31"/>
    <x v="1"/>
    <x v="2"/>
    <x v="0"/>
    <x v="4"/>
    <n v="6.8"/>
    <n v="47.22"/>
    <n v="33486000"/>
    <x v="1"/>
  </r>
  <r>
    <s v="S716"/>
    <x v="0"/>
    <s v="Synthetic Title 716"/>
    <s v="Martin Scorsese"/>
    <s v="Scarlett Johansson, Brad Pitt"/>
    <x v="3"/>
    <x v="638"/>
    <x v="9"/>
    <x v="4"/>
    <x v="15"/>
    <x v="0"/>
    <x v="3"/>
    <n v="1.8"/>
    <n v="16"/>
    <n v="96472000"/>
    <x v="0"/>
  </r>
  <r>
    <s v="S717"/>
    <x v="0"/>
    <s v="Synthetic Title 717"/>
    <s v="Steven Spielberg"/>
    <s v="Tom Hanks"/>
    <x v="7"/>
    <x v="639"/>
    <x v="7"/>
    <x v="0"/>
    <x v="9"/>
    <x v="0"/>
    <x v="4"/>
    <n v="6.8"/>
    <n v="3.89"/>
    <n v="43220000"/>
    <x v="1"/>
  </r>
  <r>
    <s v="S718"/>
    <x v="1"/>
    <s v="Synthetic Title 718"/>
    <s v="Christopher Nolan"/>
    <s v="Zendaya, Leonardo Dicaprio"/>
    <x v="7"/>
    <x v="640"/>
    <x v="17"/>
    <x v="2"/>
    <x v="8"/>
    <x v="1"/>
    <x v="4"/>
    <n v="8.8000000000000007"/>
    <n v="144.72"/>
    <n v="76863000"/>
    <x v="0"/>
  </r>
  <r>
    <s v="S719"/>
    <x v="0"/>
    <s v="Synthetic Title 719"/>
    <s v="Martin Scorsese"/>
    <s v="Scarlett Johansson, Viola Davis, Zendaya"/>
    <x v="7"/>
    <x v="641"/>
    <x v="6"/>
    <x v="5"/>
    <x v="2"/>
    <x v="0"/>
    <x v="4"/>
    <n v="5.6"/>
    <n v="86.46"/>
    <n v="92103000"/>
    <x v="0"/>
  </r>
  <r>
    <s v="S720"/>
    <x v="0"/>
    <s v="Synthetic Title 720"/>
    <s v="Martin Scorsese"/>
    <s v="Viola Davis"/>
    <x v="1"/>
    <x v="642"/>
    <x v="0"/>
    <x v="0"/>
    <x v="9"/>
    <x v="0"/>
    <x v="2"/>
    <n v="4.4000000000000004"/>
    <n v="23.71"/>
    <n v="47253000"/>
    <x v="1"/>
  </r>
  <r>
    <s v="S721"/>
    <x v="0"/>
    <s v="Synthetic Title 721"/>
    <s v="Martin Scorsese"/>
    <s v="Viola Davis, Leonardo Dicaprio, Scarlett Johansson"/>
    <x v="7"/>
    <x v="643"/>
    <x v="19"/>
    <x v="4"/>
    <x v="13"/>
    <x v="0"/>
    <x v="2"/>
    <n v="6.2"/>
    <n v="132.97"/>
    <n v="40186000"/>
    <x v="1"/>
  </r>
  <r>
    <s v="S722"/>
    <x v="1"/>
    <s v="Synthetic Title 722"/>
    <s v="Bong Joon Ho"/>
    <s v="Viola Davis, Leonardo Dicaprio, Zendaya"/>
    <x v="5"/>
    <x v="644"/>
    <x v="27"/>
    <x v="5"/>
    <x v="85"/>
    <x v="1"/>
    <x v="4"/>
    <n v="7.7"/>
    <n v="66.05"/>
    <n v="55399000"/>
    <x v="0"/>
  </r>
  <r>
    <s v="S723"/>
    <x v="1"/>
    <s v="Synthetic Title 723"/>
    <s v="Ava Duvernay"/>
    <s v="Brad Pitt, Viola Davis"/>
    <x v="0"/>
    <x v="645"/>
    <x v="16"/>
    <x v="5"/>
    <x v="58"/>
    <x v="1"/>
    <x v="2"/>
    <n v="8.9"/>
    <n v="27.73"/>
    <n v="47177000"/>
    <x v="1"/>
  </r>
  <r>
    <s v="S724"/>
    <x v="1"/>
    <s v="Synthetic Title 724"/>
    <s v="Martin Scorsese"/>
    <s v="Morgan Freeman"/>
    <x v="0"/>
    <x v="646"/>
    <x v="28"/>
    <x v="5"/>
    <x v="34"/>
    <x v="1"/>
    <x v="4"/>
    <n v="7.6"/>
    <n v="6.29"/>
    <n v="87971000"/>
    <x v="0"/>
  </r>
  <r>
    <s v="S725"/>
    <x v="1"/>
    <s v="Synthetic Title 725"/>
    <s v="Steven Spielberg"/>
    <s v="Leonardo Dicaprio"/>
    <x v="7"/>
    <x v="647"/>
    <x v="28"/>
    <x v="3"/>
    <x v="125"/>
    <x v="1"/>
    <x v="5"/>
    <n v="4.8"/>
    <n v="91.87"/>
    <n v="14885000"/>
    <x v="0"/>
  </r>
  <r>
    <s v="S726"/>
    <x v="1"/>
    <s v="Synthetic Title 726"/>
    <s v="Ava Duvernay"/>
    <s v="Brad Pitt"/>
    <x v="0"/>
    <x v="648"/>
    <x v="17"/>
    <x v="3"/>
    <x v="82"/>
    <x v="1"/>
    <x v="3"/>
    <n v="7.6"/>
    <n v="119.4"/>
    <n v="25868000"/>
    <x v="0"/>
  </r>
  <r>
    <s v="S727"/>
    <x v="0"/>
    <s v="Synthetic Title 727"/>
    <s v="Steven Spielberg"/>
    <s v="Morgan Freeman, Tom Hanks"/>
    <x v="6"/>
    <x v="649"/>
    <x v="9"/>
    <x v="5"/>
    <x v="29"/>
    <x v="0"/>
    <x v="1"/>
    <n v="7.2"/>
    <n v="129.72"/>
    <n v="26871000"/>
    <x v="0"/>
  </r>
  <r>
    <s v="S728"/>
    <x v="1"/>
    <s v="Synthetic Title 728"/>
    <s v="Christopher Nolan"/>
    <s v="Tom Hanks, Leonardo Dicaprio, Viola Davis"/>
    <x v="5"/>
    <x v="650"/>
    <x v="4"/>
    <x v="4"/>
    <x v="36"/>
    <x v="1"/>
    <x v="5"/>
    <n v="1"/>
    <n v="47.05"/>
    <n v="76572000"/>
    <x v="0"/>
  </r>
  <r>
    <s v="S729"/>
    <x v="1"/>
    <s v="Synthetic Title 729"/>
    <s v="Greta Gerwig"/>
    <s v="Viola Davis, Brad Pitt, Tom Hanks"/>
    <x v="5"/>
    <x v="348"/>
    <x v="26"/>
    <x v="5"/>
    <x v="76"/>
    <x v="1"/>
    <x v="4"/>
    <n v="8.8000000000000007"/>
    <n v="54.22"/>
    <n v="96672000"/>
    <x v="0"/>
  </r>
  <r>
    <s v="S730"/>
    <x v="0"/>
    <s v="Synthetic Title 730"/>
    <s v="Christopher Nolan"/>
    <s v="Zendaya"/>
    <x v="1"/>
    <x v="651"/>
    <x v="28"/>
    <x v="1"/>
    <x v="15"/>
    <x v="0"/>
    <x v="3"/>
    <n v="7.4"/>
    <n v="100.98"/>
    <n v="8277000"/>
    <x v="1"/>
  </r>
  <r>
    <s v="S731"/>
    <x v="0"/>
    <s v="Synthetic Title 731"/>
    <s v="Steven Spielberg"/>
    <s v="Leonardo Dicaprio"/>
    <x v="2"/>
    <x v="652"/>
    <x v="25"/>
    <x v="4"/>
    <x v="9"/>
    <x v="0"/>
    <x v="0"/>
    <n v="7.5"/>
    <n v="47.55"/>
    <n v="96195000"/>
    <x v="0"/>
  </r>
  <r>
    <s v="S732"/>
    <x v="1"/>
    <s v="Synthetic Title 732"/>
    <s v="Christopher Nolan"/>
    <s v="Morgan Freeman, Brad Pitt, Viola Davis"/>
    <x v="4"/>
    <x v="653"/>
    <x v="32"/>
    <x v="1"/>
    <x v="41"/>
    <x v="1"/>
    <x v="5"/>
    <n v="9.1"/>
    <n v="132.94999999999999"/>
    <n v="76527000"/>
    <x v="0"/>
  </r>
  <r>
    <s v="S733"/>
    <x v="1"/>
    <s v="Synthetic Title 733"/>
    <s v="Martin Scorsese"/>
    <s v="Zendaya, Scarlett Johansson, Viola Davis"/>
    <x v="6"/>
    <x v="155"/>
    <x v="18"/>
    <x v="5"/>
    <x v="61"/>
    <x v="1"/>
    <x v="1"/>
    <n v="3.6"/>
    <n v="80.33"/>
    <n v="58843000"/>
    <x v="0"/>
  </r>
  <r>
    <s v="S734"/>
    <x v="1"/>
    <s v="Synthetic Title 734"/>
    <s v="Steven Spielberg"/>
    <s v="Scarlett Johansson, Leonardo Dicaprio"/>
    <x v="7"/>
    <x v="387"/>
    <x v="10"/>
    <x v="5"/>
    <x v="78"/>
    <x v="1"/>
    <x v="0"/>
    <n v="1.3"/>
    <n v="122.51"/>
    <n v="46995000"/>
    <x v="0"/>
  </r>
  <r>
    <s v="S735"/>
    <x v="1"/>
    <s v="Synthetic Title 735"/>
    <s v="Ava Duvernay"/>
    <s v="Leonardo Dicaprio, Morgan Freeman"/>
    <x v="6"/>
    <x v="654"/>
    <x v="19"/>
    <x v="5"/>
    <x v="97"/>
    <x v="1"/>
    <x v="2"/>
    <n v="3.1"/>
    <n v="7.81"/>
    <n v="79615000"/>
    <x v="1"/>
  </r>
  <r>
    <s v="S736"/>
    <x v="1"/>
    <s v="Synthetic Title 736"/>
    <s v="Steven Spielberg"/>
    <s v="Unassigned"/>
    <x v="5"/>
    <x v="400"/>
    <x v="32"/>
    <x v="4"/>
    <x v="121"/>
    <x v="1"/>
    <x v="2"/>
    <n v="3"/>
    <n v="20.79"/>
    <n v="98737000"/>
    <x v="0"/>
  </r>
  <r>
    <s v="S737"/>
    <x v="0"/>
    <s v="Synthetic Title 737"/>
    <s v="Ava Duvernay"/>
    <s v="Morgan Freeman"/>
    <x v="1"/>
    <x v="655"/>
    <x v="5"/>
    <x v="2"/>
    <x v="13"/>
    <x v="0"/>
    <x v="3"/>
    <n v="2.2000000000000002"/>
    <n v="101.1"/>
    <n v="24474000"/>
    <x v="1"/>
  </r>
  <r>
    <s v="S738"/>
    <x v="0"/>
    <s v="Synthetic Title 738"/>
    <s v="Greta Gerwig"/>
    <s v="Zendaya, Leonardo Dicaprio, Scarlett Johansson"/>
    <x v="3"/>
    <x v="656"/>
    <x v="10"/>
    <x v="3"/>
    <x v="2"/>
    <x v="0"/>
    <x v="0"/>
    <n v="9.1"/>
    <n v="103.64"/>
    <n v="94742000"/>
    <x v="1"/>
  </r>
  <r>
    <s v="S739"/>
    <x v="0"/>
    <s v="Synthetic Title 739"/>
    <s v="Christopher Nolan"/>
    <s v="Viola Davis"/>
    <x v="7"/>
    <x v="365"/>
    <x v="17"/>
    <x v="0"/>
    <x v="29"/>
    <x v="0"/>
    <x v="4"/>
    <n v="8.4"/>
    <n v="112.3"/>
    <n v="94152000"/>
    <x v="1"/>
  </r>
  <r>
    <s v="S740"/>
    <x v="0"/>
    <s v="Synthetic Title 740"/>
    <s v="Martin Scorsese"/>
    <s v="Viola Davis, Zendaya, Brad Pitt"/>
    <x v="7"/>
    <x v="657"/>
    <x v="19"/>
    <x v="0"/>
    <x v="10"/>
    <x v="0"/>
    <x v="3"/>
    <n v="5.6"/>
    <n v="42.17"/>
    <n v="33852000"/>
    <x v="0"/>
  </r>
  <r>
    <s v="S741"/>
    <x v="0"/>
    <s v="Synthetic Title 741"/>
    <s v="Greta Gerwig"/>
    <s v="Brad Pitt, Scarlett Johansson"/>
    <x v="4"/>
    <x v="658"/>
    <x v="15"/>
    <x v="3"/>
    <x v="7"/>
    <x v="0"/>
    <x v="3"/>
    <n v="4.9000000000000004"/>
    <n v="36.76"/>
    <n v="71200000"/>
    <x v="0"/>
  </r>
  <r>
    <s v="S742"/>
    <x v="1"/>
    <s v="Synthetic Title 742"/>
    <s v="Bong Joon Ho"/>
    <s v="Tom Hanks, Zendaya"/>
    <x v="2"/>
    <x v="659"/>
    <x v="13"/>
    <x v="3"/>
    <x v="28"/>
    <x v="1"/>
    <x v="0"/>
    <n v="5.0999999999999996"/>
    <n v="49.9"/>
    <n v="8135000"/>
    <x v="0"/>
  </r>
  <r>
    <s v="S743"/>
    <x v="0"/>
    <s v="Synthetic Title 743"/>
    <s v="Steven Spielberg"/>
    <s v="Zendaya, Tom Hanks"/>
    <x v="1"/>
    <x v="660"/>
    <x v="17"/>
    <x v="2"/>
    <x v="13"/>
    <x v="0"/>
    <x v="3"/>
    <n v="6.4"/>
    <n v="49.54"/>
    <n v="53489000"/>
    <x v="0"/>
  </r>
  <r>
    <s v="S744"/>
    <x v="0"/>
    <s v="Synthetic Title 744"/>
    <s v="Ava Duvernay"/>
    <s v="Morgan Freeman, Viola Davis"/>
    <x v="2"/>
    <x v="661"/>
    <x v="17"/>
    <x v="4"/>
    <x v="29"/>
    <x v="0"/>
    <x v="4"/>
    <n v="7.6"/>
    <n v="10.65"/>
    <n v="44536000"/>
    <x v="0"/>
  </r>
  <r>
    <s v="S745"/>
    <x v="1"/>
    <s v="Synthetic Title 745"/>
    <s v="Bong Joon Ho"/>
    <s v="Leonardo Dicaprio, Tom Hanks"/>
    <x v="6"/>
    <x v="662"/>
    <x v="29"/>
    <x v="1"/>
    <x v="19"/>
    <x v="1"/>
    <x v="4"/>
    <n v="1.1000000000000001"/>
    <n v="129.96"/>
    <n v="27141000"/>
    <x v="1"/>
  </r>
  <r>
    <s v="S746"/>
    <x v="0"/>
    <s v="Synthetic Title 746"/>
    <s v="Bong Joon Ho"/>
    <s v="Brad Pitt, Zendaya"/>
    <x v="4"/>
    <x v="663"/>
    <x v="28"/>
    <x v="1"/>
    <x v="0"/>
    <x v="0"/>
    <x v="5"/>
    <n v="6.3"/>
    <n v="63.95"/>
    <n v="80665000"/>
    <x v="1"/>
  </r>
  <r>
    <s v="S747"/>
    <x v="1"/>
    <s v="Synthetic Title 747"/>
    <s v="Steven Spielberg"/>
    <s v="Brad Pitt, Zendaya"/>
    <x v="4"/>
    <x v="664"/>
    <x v="29"/>
    <x v="2"/>
    <x v="31"/>
    <x v="1"/>
    <x v="4"/>
    <n v="5.7"/>
    <n v="46.67"/>
    <n v="77691000"/>
    <x v="1"/>
  </r>
  <r>
    <s v="S748"/>
    <x v="0"/>
    <s v="Synthetic Title 748"/>
    <s v="Martin Scorsese"/>
    <s v="Leonardo Dicaprio, Viola Davis"/>
    <x v="6"/>
    <x v="665"/>
    <x v="3"/>
    <x v="3"/>
    <x v="4"/>
    <x v="0"/>
    <x v="2"/>
    <n v="6.9"/>
    <n v="115.62"/>
    <n v="40403000"/>
    <x v="0"/>
  </r>
  <r>
    <s v="S749"/>
    <x v="1"/>
    <s v="Synthetic Title 749"/>
    <s v="Martin Scorsese"/>
    <s v="Morgan Freeman, Tom Hanks"/>
    <x v="7"/>
    <x v="666"/>
    <x v="31"/>
    <x v="0"/>
    <x v="50"/>
    <x v="1"/>
    <x v="0"/>
    <n v="8.4"/>
    <n v="31.21"/>
    <n v="19373000"/>
    <x v="0"/>
  </r>
  <r>
    <s v="S750"/>
    <x v="0"/>
    <s v="Synthetic Title 750"/>
    <s v="Greta Gerwig"/>
    <s v="Scarlett Johansson, Leonardo Dicaprio"/>
    <x v="6"/>
    <x v="667"/>
    <x v="29"/>
    <x v="1"/>
    <x v="26"/>
    <x v="0"/>
    <x v="3"/>
    <n v="3.5"/>
    <n v="59.53"/>
    <n v="9339000"/>
    <x v="0"/>
  </r>
  <r>
    <s v="S751"/>
    <x v="1"/>
    <s v="Synthetic Title 751"/>
    <s v="Greta Gerwig"/>
    <s v="Brad Pitt, Scarlett Johansson, Zendaya"/>
    <x v="4"/>
    <x v="668"/>
    <x v="20"/>
    <x v="5"/>
    <x v="108"/>
    <x v="1"/>
    <x v="2"/>
    <n v="9.1999999999999993"/>
    <n v="86.56"/>
    <n v="15496000"/>
    <x v="0"/>
  </r>
  <r>
    <s v="S752"/>
    <x v="0"/>
    <s v="Synthetic Title 752"/>
    <s v="Christopher Nolan"/>
    <s v="Unassigned"/>
    <x v="5"/>
    <x v="669"/>
    <x v="9"/>
    <x v="5"/>
    <x v="2"/>
    <x v="0"/>
    <x v="3"/>
    <n v="2.8"/>
    <n v="11.77"/>
    <n v="44623000"/>
    <x v="1"/>
  </r>
  <r>
    <s v="S753"/>
    <x v="1"/>
    <s v="Synthetic Title 753"/>
    <s v="Ava Duvernay"/>
    <s v="Viola Davis, Zendaya"/>
    <x v="4"/>
    <x v="670"/>
    <x v="14"/>
    <x v="3"/>
    <x v="87"/>
    <x v="1"/>
    <x v="5"/>
    <n v="4.4000000000000004"/>
    <n v="65.39"/>
    <n v="25921000"/>
    <x v="1"/>
  </r>
  <r>
    <s v="S754"/>
    <x v="0"/>
    <s v="Synthetic Title 754"/>
    <s v="Martin Scorsese"/>
    <s v="Zendaya, Scarlett Johansson"/>
    <x v="4"/>
    <x v="671"/>
    <x v="7"/>
    <x v="0"/>
    <x v="7"/>
    <x v="0"/>
    <x v="3"/>
    <n v="2.6"/>
    <n v="25.57"/>
    <n v="9616000"/>
    <x v="1"/>
  </r>
  <r>
    <s v="S755"/>
    <x v="1"/>
    <s v="Synthetic Title 755"/>
    <s v="Bong Joon Ho"/>
    <s v="Tom Hanks, Scarlett Johansson, Zendaya"/>
    <x v="3"/>
    <x v="590"/>
    <x v="27"/>
    <x v="5"/>
    <x v="6"/>
    <x v="1"/>
    <x v="0"/>
    <n v="2.9"/>
    <n v="14.3"/>
    <n v="9315000"/>
    <x v="0"/>
  </r>
  <r>
    <s v="S756"/>
    <x v="1"/>
    <s v="Synthetic Title 756"/>
    <s v="Ava Duvernay"/>
    <s v="Tom Hanks, Zendaya, Viola Davis"/>
    <x v="6"/>
    <x v="672"/>
    <x v="11"/>
    <x v="3"/>
    <x v="74"/>
    <x v="1"/>
    <x v="3"/>
    <n v="7"/>
    <n v="87.32"/>
    <n v="20348000"/>
    <x v="1"/>
  </r>
  <r>
    <s v="S757"/>
    <x v="1"/>
    <s v="Synthetic Title 757"/>
    <s v="Martin Scorsese"/>
    <s v="Zendaya, Viola Davis"/>
    <x v="7"/>
    <x v="673"/>
    <x v="23"/>
    <x v="2"/>
    <x v="128"/>
    <x v="1"/>
    <x v="3"/>
    <n v="4"/>
    <n v="118.46"/>
    <n v="30263000"/>
    <x v="0"/>
  </r>
  <r>
    <s v="S758"/>
    <x v="1"/>
    <s v="Synthetic Title 758"/>
    <s v="Martin Scorsese"/>
    <s v="Tom Hanks, Brad Pitt"/>
    <x v="0"/>
    <x v="674"/>
    <x v="1"/>
    <x v="0"/>
    <x v="126"/>
    <x v="1"/>
    <x v="0"/>
    <n v="7.8"/>
    <n v="58.65"/>
    <n v="88549000"/>
    <x v="1"/>
  </r>
  <r>
    <s v="S759"/>
    <x v="0"/>
    <s v="Synthetic Title 759"/>
    <s v="Ava Duvernay"/>
    <s v="Leonardo Dicaprio"/>
    <x v="6"/>
    <x v="675"/>
    <x v="8"/>
    <x v="3"/>
    <x v="4"/>
    <x v="0"/>
    <x v="3"/>
    <n v="4.0999999999999996"/>
    <n v="139.44999999999999"/>
    <n v="48795000"/>
    <x v="1"/>
  </r>
  <r>
    <s v="S760"/>
    <x v="0"/>
    <s v="Synthetic Title 760"/>
    <s v="Martin Scorsese"/>
    <s v="Scarlett Johansson, Leonardo Dicaprio, Morgan Freeman"/>
    <x v="5"/>
    <x v="676"/>
    <x v="26"/>
    <x v="1"/>
    <x v="9"/>
    <x v="0"/>
    <x v="4"/>
    <n v="3.6"/>
    <n v="104.23"/>
    <n v="49279000"/>
    <x v="0"/>
  </r>
  <r>
    <s v="S761"/>
    <x v="1"/>
    <s v="Synthetic Title 761"/>
    <s v="Greta Gerwig"/>
    <s v="Scarlett Johansson, Morgan Freeman, Zendaya"/>
    <x v="5"/>
    <x v="677"/>
    <x v="0"/>
    <x v="1"/>
    <x v="86"/>
    <x v="1"/>
    <x v="2"/>
    <n v="1.7"/>
    <n v="50.78"/>
    <n v="18760000"/>
    <x v="1"/>
  </r>
  <r>
    <s v="S762"/>
    <x v="1"/>
    <s v="Synthetic Title 762"/>
    <s v="Ava Duvernay"/>
    <s v="Brad Pitt, Tom Hanks, Zendaya"/>
    <x v="2"/>
    <x v="678"/>
    <x v="4"/>
    <x v="1"/>
    <x v="91"/>
    <x v="1"/>
    <x v="2"/>
    <n v="6.7"/>
    <n v="39.68"/>
    <n v="65777000"/>
    <x v="1"/>
  </r>
  <r>
    <s v="S763"/>
    <x v="1"/>
    <s v="Synthetic Title 763"/>
    <s v="Christopher Nolan"/>
    <s v="Tom Hanks"/>
    <x v="5"/>
    <x v="679"/>
    <x v="32"/>
    <x v="4"/>
    <x v="127"/>
    <x v="1"/>
    <x v="2"/>
    <n v="4.3"/>
    <n v="26.45"/>
    <n v="98411000"/>
    <x v="1"/>
  </r>
  <r>
    <s v="S764"/>
    <x v="1"/>
    <s v="Synthetic Title 764"/>
    <s v="Martin Scorsese"/>
    <s v="Tom Hanks, Brad Pitt"/>
    <x v="1"/>
    <x v="680"/>
    <x v="25"/>
    <x v="0"/>
    <x v="99"/>
    <x v="1"/>
    <x v="0"/>
    <n v="3.4"/>
    <n v="74.56"/>
    <n v="2928000"/>
    <x v="0"/>
  </r>
  <r>
    <s v="S765"/>
    <x v="1"/>
    <s v="Synthetic Title 765"/>
    <s v="Martin Scorsese"/>
    <s v="Tom Hanks"/>
    <x v="3"/>
    <x v="681"/>
    <x v="7"/>
    <x v="5"/>
    <x v="67"/>
    <x v="1"/>
    <x v="3"/>
    <n v="9.5"/>
    <n v="32.659999999999997"/>
    <n v="80137000"/>
    <x v="1"/>
  </r>
  <r>
    <s v="S766"/>
    <x v="1"/>
    <s v="Synthetic Title 766"/>
    <s v="Greta Gerwig"/>
    <s v="Viola Davis, Brad Pitt"/>
    <x v="1"/>
    <x v="682"/>
    <x v="12"/>
    <x v="1"/>
    <x v="112"/>
    <x v="1"/>
    <x v="1"/>
    <n v="5.4"/>
    <n v="28.19"/>
    <n v="14820000"/>
    <x v="1"/>
  </r>
  <r>
    <s v="S767"/>
    <x v="1"/>
    <s v="Synthetic Title 767"/>
    <s v="Unassigned"/>
    <s v="Morgan Freeman, Scarlett Johansson, Viola Davis"/>
    <x v="7"/>
    <x v="683"/>
    <x v="30"/>
    <x v="4"/>
    <x v="111"/>
    <x v="1"/>
    <x v="5"/>
    <n v="8.1"/>
    <n v="14.08"/>
    <n v="44346000"/>
    <x v="1"/>
  </r>
  <r>
    <s v="S768"/>
    <x v="1"/>
    <s v="Synthetic Title 768"/>
    <s v="Ava Duvernay"/>
    <s v="Tom Hanks, Viola Davis"/>
    <x v="7"/>
    <x v="684"/>
    <x v="5"/>
    <x v="3"/>
    <x v="55"/>
    <x v="1"/>
    <x v="2"/>
    <n v="3.9"/>
    <n v="20.62"/>
    <n v="10456000"/>
    <x v="1"/>
  </r>
  <r>
    <s v="S769"/>
    <x v="1"/>
    <s v="Synthetic Title 769"/>
    <s v="Greta Gerwig"/>
    <s v="Brad Pitt"/>
    <x v="4"/>
    <x v="685"/>
    <x v="18"/>
    <x v="2"/>
    <x v="75"/>
    <x v="1"/>
    <x v="1"/>
    <n v="8.8000000000000007"/>
    <n v="145.53"/>
    <n v="44746000"/>
    <x v="0"/>
  </r>
  <r>
    <s v="S770"/>
    <x v="0"/>
    <s v="Synthetic Title 770"/>
    <s v="Martin Scorsese"/>
    <s v="Brad Pitt, Morgan Freeman, Scarlett Johansson"/>
    <x v="5"/>
    <x v="686"/>
    <x v="9"/>
    <x v="2"/>
    <x v="7"/>
    <x v="0"/>
    <x v="2"/>
    <n v="6.2"/>
    <n v="107.34"/>
    <n v="99715000"/>
    <x v="0"/>
  </r>
  <r>
    <s v="S771"/>
    <x v="1"/>
    <s v="Synthetic Title 771"/>
    <s v="Steven Spielberg"/>
    <s v="Morgan Freeman"/>
    <x v="3"/>
    <x v="687"/>
    <x v="1"/>
    <x v="2"/>
    <x v="5"/>
    <x v="1"/>
    <x v="3"/>
    <n v="6.4"/>
    <n v="124.36"/>
    <n v="72489000"/>
    <x v="0"/>
  </r>
  <r>
    <s v="S772"/>
    <x v="1"/>
    <s v="Synthetic Title 772"/>
    <s v="Unassigned"/>
    <s v="Unassigned"/>
    <x v="0"/>
    <x v="688"/>
    <x v="12"/>
    <x v="3"/>
    <x v="118"/>
    <x v="1"/>
    <x v="0"/>
    <n v="8"/>
    <n v="137.93"/>
    <n v="16812000"/>
    <x v="1"/>
  </r>
  <r>
    <s v="S773"/>
    <x v="1"/>
    <s v="Synthetic Title 773"/>
    <s v="Steven Spielberg"/>
    <s v="Morgan Freeman, Tom Hanks, Scarlett Johansson"/>
    <x v="2"/>
    <x v="689"/>
    <x v="27"/>
    <x v="1"/>
    <x v="103"/>
    <x v="1"/>
    <x v="4"/>
    <n v="1.3"/>
    <n v="81.45"/>
    <n v="40921000"/>
    <x v="1"/>
  </r>
  <r>
    <s v="S774"/>
    <x v="1"/>
    <s v="Synthetic Title 774"/>
    <s v="Christopher Nolan"/>
    <s v="Leonardo Dicaprio"/>
    <x v="1"/>
    <x v="690"/>
    <x v="5"/>
    <x v="5"/>
    <x v="88"/>
    <x v="1"/>
    <x v="4"/>
    <n v="4.3"/>
    <n v="8.67"/>
    <n v="23565000"/>
    <x v="1"/>
  </r>
  <r>
    <s v="S775"/>
    <x v="0"/>
    <s v="Synthetic Title 775"/>
    <s v="Martin Scorsese"/>
    <s v="Viola Davis, Scarlett Johansson"/>
    <x v="3"/>
    <x v="691"/>
    <x v="18"/>
    <x v="3"/>
    <x v="7"/>
    <x v="0"/>
    <x v="0"/>
    <n v="7.7"/>
    <n v="103.15"/>
    <n v="39485000"/>
    <x v="1"/>
  </r>
  <r>
    <s v="S776"/>
    <x v="1"/>
    <s v="Synthetic Title 776"/>
    <s v="Christopher Nolan"/>
    <s v="Tom Hanks, Brad Pitt"/>
    <x v="4"/>
    <x v="692"/>
    <x v="33"/>
    <x v="0"/>
    <x v="34"/>
    <x v="1"/>
    <x v="0"/>
    <n v="7.4"/>
    <n v="135.58000000000001"/>
    <n v="6995000"/>
    <x v="0"/>
  </r>
  <r>
    <s v="S777"/>
    <x v="0"/>
    <s v="Synthetic Title 777"/>
    <s v="Greta Gerwig"/>
    <s v="Viola Davis, Tom Hanks, Zendaya"/>
    <x v="3"/>
    <x v="693"/>
    <x v="22"/>
    <x v="5"/>
    <x v="2"/>
    <x v="0"/>
    <x v="0"/>
    <n v="6.6"/>
    <n v="37.85"/>
    <n v="48570000"/>
    <x v="0"/>
  </r>
  <r>
    <s v="S778"/>
    <x v="0"/>
    <s v="Synthetic Title 778"/>
    <s v="Greta Gerwig"/>
    <s v="Morgan Freeman"/>
    <x v="7"/>
    <x v="346"/>
    <x v="7"/>
    <x v="1"/>
    <x v="10"/>
    <x v="0"/>
    <x v="4"/>
    <n v="4.9000000000000004"/>
    <n v="49.93"/>
    <n v="71178000"/>
    <x v="0"/>
  </r>
  <r>
    <s v="S779"/>
    <x v="1"/>
    <s v="Synthetic Title 779"/>
    <s v="Unassigned"/>
    <s v="Scarlett Johansson"/>
    <x v="3"/>
    <x v="694"/>
    <x v="25"/>
    <x v="5"/>
    <x v="30"/>
    <x v="1"/>
    <x v="5"/>
    <n v="1.3"/>
    <n v="80.239999999999995"/>
    <n v="42985000"/>
    <x v="1"/>
  </r>
  <r>
    <s v="S780"/>
    <x v="1"/>
    <s v="Synthetic Title 780"/>
    <s v="Unassigned"/>
    <s v="Zendaya, Leonardo Dicaprio, Viola Davis"/>
    <x v="2"/>
    <x v="695"/>
    <x v="8"/>
    <x v="3"/>
    <x v="1"/>
    <x v="1"/>
    <x v="0"/>
    <n v="6.8"/>
    <n v="16.32"/>
    <n v="31795000"/>
    <x v="0"/>
  </r>
  <r>
    <s v="S781"/>
    <x v="1"/>
    <s v="Synthetic Title 781"/>
    <s v="Christopher Nolan"/>
    <s v="Unassigned"/>
    <x v="5"/>
    <x v="518"/>
    <x v="19"/>
    <x v="5"/>
    <x v="125"/>
    <x v="1"/>
    <x v="3"/>
    <n v="7.3"/>
    <n v="139.04"/>
    <n v="43870000"/>
    <x v="0"/>
  </r>
  <r>
    <s v="S782"/>
    <x v="1"/>
    <s v="Synthetic Title 782"/>
    <s v="Martin Scorsese"/>
    <s v="Viola Davis"/>
    <x v="7"/>
    <x v="696"/>
    <x v="26"/>
    <x v="0"/>
    <x v="38"/>
    <x v="1"/>
    <x v="1"/>
    <n v="1.1000000000000001"/>
    <n v="35.21"/>
    <n v="2110000"/>
    <x v="0"/>
  </r>
  <r>
    <s v="S783"/>
    <x v="1"/>
    <s v="Synthetic Title 783"/>
    <s v="Steven Spielberg"/>
    <s v="Brad Pitt, Scarlett Johansson, Tom Hanks"/>
    <x v="2"/>
    <x v="382"/>
    <x v="11"/>
    <x v="5"/>
    <x v="1"/>
    <x v="1"/>
    <x v="5"/>
    <n v="9.9"/>
    <n v="18.690000000000001"/>
    <n v="62640000"/>
    <x v="1"/>
  </r>
  <r>
    <s v="S784"/>
    <x v="0"/>
    <s v="Synthetic Title 784"/>
    <s v="Bong Joon Ho"/>
    <s v="Tom Hanks, Zendaya"/>
    <x v="6"/>
    <x v="320"/>
    <x v="5"/>
    <x v="3"/>
    <x v="29"/>
    <x v="0"/>
    <x v="2"/>
    <n v="3.5"/>
    <n v="77.959999999999994"/>
    <n v="97544000"/>
    <x v="0"/>
  </r>
  <r>
    <s v="S785"/>
    <x v="0"/>
    <s v="Synthetic Title 785"/>
    <s v="Martin Scorsese"/>
    <s v="Zendaya, Scarlett Johansson, Tom Hanks"/>
    <x v="1"/>
    <x v="697"/>
    <x v="27"/>
    <x v="0"/>
    <x v="0"/>
    <x v="0"/>
    <x v="3"/>
    <n v="9.4"/>
    <n v="93.57"/>
    <n v="27515000"/>
    <x v="1"/>
  </r>
  <r>
    <s v="S786"/>
    <x v="1"/>
    <s v="Synthetic Title 786"/>
    <s v="Martin Scorsese"/>
    <s v="Leonardo Dicaprio"/>
    <x v="0"/>
    <x v="215"/>
    <x v="13"/>
    <x v="3"/>
    <x v="107"/>
    <x v="1"/>
    <x v="5"/>
    <n v="9.4"/>
    <n v="100.13"/>
    <n v="13698000"/>
    <x v="0"/>
  </r>
  <r>
    <s v="S787"/>
    <x v="0"/>
    <s v="Synthetic Title 787"/>
    <s v="Ava Duvernay"/>
    <s v="Brad Pitt, Viola Davis"/>
    <x v="5"/>
    <x v="698"/>
    <x v="16"/>
    <x v="2"/>
    <x v="9"/>
    <x v="0"/>
    <x v="3"/>
    <n v="1.3"/>
    <n v="51.81"/>
    <n v="77858000"/>
    <x v="0"/>
  </r>
  <r>
    <s v="S788"/>
    <x v="1"/>
    <s v="Synthetic Title 788"/>
    <s v="Unassigned"/>
    <s v="Unassigned"/>
    <x v="2"/>
    <x v="699"/>
    <x v="20"/>
    <x v="0"/>
    <x v="99"/>
    <x v="1"/>
    <x v="0"/>
    <n v="1"/>
    <n v="55.22"/>
    <n v="90564000"/>
    <x v="1"/>
  </r>
  <r>
    <s v="S789"/>
    <x v="1"/>
    <s v="Synthetic Title 789"/>
    <s v="Greta Gerwig"/>
    <s v="Brad Pitt, Morgan Freeman"/>
    <x v="2"/>
    <x v="700"/>
    <x v="7"/>
    <x v="4"/>
    <x v="63"/>
    <x v="1"/>
    <x v="0"/>
    <n v="8.5"/>
    <n v="21.22"/>
    <n v="53690000"/>
    <x v="1"/>
  </r>
  <r>
    <s v="S790"/>
    <x v="0"/>
    <s v="Synthetic Title 790"/>
    <s v="Greta Gerwig"/>
    <s v="Scarlett Johansson, Leonardo Dicaprio, Morgan Freeman"/>
    <x v="2"/>
    <x v="701"/>
    <x v="18"/>
    <x v="3"/>
    <x v="13"/>
    <x v="0"/>
    <x v="5"/>
    <n v="3.5"/>
    <n v="139.53"/>
    <n v="83311000"/>
    <x v="0"/>
  </r>
  <r>
    <s v="S791"/>
    <x v="1"/>
    <s v="Synthetic Title 791"/>
    <s v="Steven Spielberg"/>
    <s v="Morgan Freeman, Brad Pitt, Zendaya"/>
    <x v="6"/>
    <x v="702"/>
    <x v="31"/>
    <x v="2"/>
    <x v="11"/>
    <x v="1"/>
    <x v="4"/>
    <n v="3.3"/>
    <n v="69.62"/>
    <n v="62191000"/>
    <x v="0"/>
  </r>
  <r>
    <s v="S792"/>
    <x v="1"/>
    <s v="Synthetic Title 792"/>
    <s v="Christopher Nolan"/>
    <s v="Tom Hanks, Brad Pitt"/>
    <x v="3"/>
    <x v="703"/>
    <x v="10"/>
    <x v="1"/>
    <x v="36"/>
    <x v="1"/>
    <x v="2"/>
    <n v="1.7"/>
    <n v="31.1"/>
    <n v="86743000"/>
    <x v="0"/>
  </r>
  <r>
    <s v="S793"/>
    <x v="0"/>
    <s v="Synthetic Title 793"/>
    <s v="Ava Duvernay"/>
    <s v="Leonardo Dicaprio, Scarlett Johansson"/>
    <x v="5"/>
    <x v="704"/>
    <x v="30"/>
    <x v="4"/>
    <x v="4"/>
    <x v="0"/>
    <x v="4"/>
    <n v="6.7"/>
    <n v="56.8"/>
    <n v="99993000"/>
    <x v="1"/>
  </r>
  <r>
    <s v="S794"/>
    <x v="1"/>
    <s v="Synthetic Title 794"/>
    <s v="Christopher Nolan"/>
    <s v="Viola Davis, Morgan Freeman"/>
    <x v="3"/>
    <x v="705"/>
    <x v="28"/>
    <x v="5"/>
    <x v="27"/>
    <x v="1"/>
    <x v="1"/>
    <n v="5.9"/>
    <n v="62.86"/>
    <n v="73968000"/>
    <x v="1"/>
  </r>
  <r>
    <s v="S795"/>
    <x v="1"/>
    <s v="Synthetic Title 795"/>
    <s v="Unassigned"/>
    <s v="Morgan Freeman, Leonardo Dicaprio"/>
    <x v="2"/>
    <x v="706"/>
    <x v="8"/>
    <x v="3"/>
    <x v="38"/>
    <x v="1"/>
    <x v="1"/>
    <n v="3.5"/>
    <n v="139.93"/>
    <n v="66311000"/>
    <x v="0"/>
  </r>
  <r>
    <s v="S796"/>
    <x v="1"/>
    <s v="Synthetic Title 796"/>
    <s v="Martin Scorsese"/>
    <s v="Zendaya, Morgan Freeman, Viola Davis"/>
    <x v="1"/>
    <x v="707"/>
    <x v="4"/>
    <x v="2"/>
    <x v="125"/>
    <x v="1"/>
    <x v="0"/>
    <n v="3.4"/>
    <n v="125.89"/>
    <n v="38144000"/>
    <x v="1"/>
  </r>
  <r>
    <s v="S797"/>
    <x v="1"/>
    <s v="Synthetic Title 797"/>
    <s v="Greta Gerwig"/>
    <s v="Tom Hanks, Zendaya"/>
    <x v="4"/>
    <x v="593"/>
    <x v="17"/>
    <x v="2"/>
    <x v="23"/>
    <x v="1"/>
    <x v="5"/>
    <n v="3.4"/>
    <n v="45.08"/>
    <n v="56407000"/>
    <x v="0"/>
  </r>
  <r>
    <s v="S798"/>
    <x v="0"/>
    <s v="Synthetic Title 798"/>
    <s v="Ava Duvernay"/>
    <s v="Unassigned"/>
    <x v="1"/>
    <x v="708"/>
    <x v="27"/>
    <x v="1"/>
    <x v="4"/>
    <x v="0"/>
    <x v="5"/>
    <n v="7.7"/>
    <n v="7.41"/>
    <n v="28537000"/>
    <x v="0"/>
  </r>
  <r>
    <s v="S799"/>
    <x v="0"/>
    <s v="Synthetic Title 799"/>
    <s v="Unassigned"/>
    <s v="Viola Davis"/>
    <x v="6"/>
    <x v="709"/>
    <x v="20"/>
    <x v="2"/>
    <x v="2"/>
    <x v="0"/>
    <x v="0"/>
    <n v="2.9"/>
    <n v="140.38"/>
    <n v="4580000"/>
    <x v="0"/>
  </r>
  <r>
    <s v="S800"/>
    <x v="0"/>
    <s v="Synthetic Title 800"/>
    <s v="Steven Spielberg"/>
    <s v="Leonardo Dicaprio"/>
    <x v="5"/>
    <x v="710"/>
    <x v="16"/>
    <x v="0"/>
    <x v="7"/>
    <x v="0"/>
    <x v="0"/>
    <n v="8.1"/>
    <n v="81.52"/>
    <n v="56632000"/>
    <x v="0"/>
  </r>
  <r>
    <s v="S801"/>
    <x v="1"/>
    <s v="Synthetic Title 801"/>
    <s v="Bong Joon Ho"/>
    <s v="Scarlett Johansson, Tom Hanks"/>
    <x v="7"/>
    <x v="711"/>
    <x v="31"/>
    <x v="1"/>
    <x v="119"/>
    <x v="1"/>
    <x v="3"/>
    <n v="1.7"/>
    <n v="139.46"/>
    <n v="96402000"/>
    <x v="1"/>
  </r>
  <r>
    <s v="S802"/>
    <x v="0"/>
    <s v="Synthetic Title 802"/>
    <s v="Christopher Nolan"/>
    <s v="Unassigned"/>
    <x v="1"/>
    <x v="712"/>
    <x v="15"/>
    <x v="0"/>
    <x v="13"/>
    <x v="0"/>
    <x v="0"/>
    <n v="1.5"/>
    <n v="132.49"/>
    <n v="53540000"/>
    <x v="1"/>
  </r>
  <r>
    <s v="S803"/>
    <x v="1"/>
    <s v="Synthetic Title 803"/>
    <s v="Martin Scorsese"/>
    <s v="Zendaya, Viola Davis"/>
    <x v="7"/>
    <x v="252"/>
    <x v="31"/>
    <x v="3"/>
    <x v="89"/>
    <x v="1"/>
    <x v="1"/>
    <n v="7"/>
    <n v="108.23"/>
    <n v="31820000"/>
    <x v="0"/>
  </r>
  <r>
    <s v="S804"/>
    <x v="1"/>
    <s v="Synthetic Title 804"/>
    <s v="Christopher Nolan"/>
    <s v="Tom Hanks, Viola Davis"/>
    <x v="1"/>
    <x v="713"/>
    <x v="21"/>
    <x v="0"/>
    <x v="20"/>
    <x v="1"/>
    <x v="0"/>
    <n v="2.8"/>
    <n v="62.61"/>
    <n v="17685000"/>
    <x v="1"/>
  </r>
  <r>
    <s v="S805"/>
    <x v="0"/>
    <s v="Synthetic Title 805"/>
    <s v="Christopher Nolan"/>
    <s v="Viola Davis, Tom Hanks, Leonardo Dicaprio"/>
    <x v="7"/>
    <x v="506"/>
    <x v="25"/>
    <x v="2"/>
    <x v="0"/>
    <x v="0"/>
    <x v="3"/>
    <n v="5.6"/>
    <n v="134.12"/>
    <n v="49840000"/>
    <x v="1"/>
  </r>
  <r>
    <s v="S806"/>
    <x v="1"/>
    <s v="Synthetic Title 806"/>
    <s v="Unassigned"/>
    <s v="Unassigned"/>
    <x v="3"/>
    <x v="714"/>
    <x v="30"/>
    <x v="4"/>
    <x v="49"/>
    <x v="1"/>
    <x v="0"/>
    <n v="2.2999999999999998"/>
    <n v="18.57"/>
    <n v="98195000"/>
    <x v="1"/>
  </r>
  <r>
    <s v="S807"/>
    <x v="1"/>
    <s v="Synthetic Title 807"/>
    <s v="Unassigned"/>
    <s v="Zendaya"/>
    <x v="0"/>
    <x v="715"/>
    <x v="3"/>
    <x v="3"/>
    <x v="11"/>
    <x v="1"/>
    <x v="0"/>
    <n v="7.6"/>
    <n v="72.099999999999994"/>
    <n v="71407000"/>
    <x v="0"/>
  </r>
  <r>
    <s v="S808"/>
    <x v="1"/>
    <s v="Synthetic Title 808"/>
    <s v="Steven Spielberg"/>
    <s v="Morgan Freeman, Leonardo Dicaprio, Brad Pitt"/>
    <x v="4"/>
    <x v="716"/>
    <x v="7"/>
    <x v="1"/>
    <x v="128"/>
    <x v="1"/>
    <x v="3"/>
    <n v="3.6"/>
    <n v="49.74"/>
    <n v="19797000"/>
    <x v="1"/>
  </r>
  <r>
    <s v="S809"/>
    <x v="0"/>
    <s v="Synthetic Title 809"/>
    <s v="Greta Gerwig"/>
    <s v="Scarlett Johansson, Brad Pitt"/>
    <x v="6"/>
    <x v="717"/>
    <x v="7"/>
    <x v="3"/>
    <x v="10"/>
    <x v="0"/>
    <x v="4"/>
    <n v="5.4"/>
    <n v="109.54"/>
    <n v="69531000"/>
    <x v="1"/>
  </r>
  <r>
    <s v="S810"/>
    <x v="1"/>
    <s v="Synthetic Title 810"/>
    <s v="Greta Gerwig"/>
    <s v="Zendaya, Morgan Freeman, Brad Pitt"/>
    <x v="3"/>
    <x v="718"/>
    <x v="19"/>
    <x v="3"/>
    <x v="97"/>
    <x v="1"/>
    <x v="3"/>
    <n v="3.1"/>
    <n v="133.81"/>
    <n v="13900000"/>
    <x v="0"/>
  </r>
  <r>
    <s v="S811"/>
    <x v="0"/>
    <s v="Synthetic Title 811"/>
    <s v="Steven Spielberg"/>
    <s v="Scarlett Johansson, Brad Pitt"/>
    <x v="4"/>
    <x v="356"/>
    <x v="4"/>
    <x v="0"/>
    <x v="15"/>
    <x v="0"/>
    <x v="5"/>
    <n v="5.2"/>
    <n v="1.41"/>
    <n v="19286000"/>
    <x v="1"/>
  </r>
  <r>
    <s v="S812"/>
    <x v="0"/>
    <s v="Synthetic Title 812"/>
    <s v="Greta Gerwig"/>
    <s v="Tom Hanks"/>
    <x v="7"/>
    <x v="719"/>
    <x v="13"/>
    <x v="4"/>
    <x v="26"/>
    <x v="0"/>
    <x v="0"/>
    <n v="9.3000000000000007"/>
    <n v="113.72"/>
    <n v="39296000"/>
    <x v="1"/>
  </r>
  <r>
    <s v="S813"/>
    <x v="0"/>
    <s v="Synthetic Title 813"/>
    <s v="Christopher Nolan"/>
    <s v="Zendaya"/>
    <x v="6"/>
    <x v="720"/>
    <x v="32"/>
    <x v="2"/>
    <x v="10"/>
    <x v="0"/>
    <x v="2"/>
    <n v="8.1999999999999993"/>
    <n v="77.12"/>
    <n v="64610000"/>
    <x v="0"/>
  </r>
  <r>
    <s v="S814"/>
    <x v="0"/>
    <s v="Synthetic Title 814"/>
    <s v="Unassigned"/>
    <s v="Scarlett Johansson, Viola Davis, Leonardo Dicaprio"/>
    <x v="2"/>
    <x v="721"/>
    <x v="6"/>
    <x v="4"/>
    <x v="15"/>
    <x v="0"/>
    <x v="2"/>
    <n v="4.9000000000000004"/>
    <n v="25.9"/>
    <n v="91280000"/>
    <x v="0"/>
  </r>
  <r>
    <s v="S815"/>
    <x v="0"/>
    <s v="Synthetic Title 815"/>
    <s v="Unassigned"/>
    <s v="Scarlett Johansson, Zendaya"/>
    <x v="0"/>
    <x v="722"/>
    <x v="4"/>
    <x v="4"/>
    <x v="15"/>
    <x v="0"/>
    <x v="4"/>
    <n v="5.2"/>
    <n v="54.92"/>
    <n v="55719000"/>
    <x v="0"/>
  </r>
  <r>
    <s v="S816"/>
    <x v="1"/>
    <s v="Synthetic Title 816"/>
    <s v="Bong Joon Ho"/>
    <s v="Zendaya, Viola Davis, Brad Pitt"/>
    <x v="0"/>
    <x v="723"/>
    <x v="0"/>
    <x v="3"/>
    <x v="34"/>
    <x v="1"/>
    <x v="5"/>
    <n v="7.9"/>
    <n v="116.35"/>
    <n v="44722000"/>
    <x v="1"/>
  </r>
  <r>
    <s v="S817"/>
    <x v="0"/>
    <s v="Synthetic Title 817"/>
    <s v="Bong Joon Ho"/>
    <s v="Viola Davis"/>
    <x v="5"/>
    <x v="724"/>
    <x v="21"/>
    <x v="4"/>
    <x v="9"/>
    <x v="0"/>
    <x v="3"/>
    <n v="5.7"/>
    <n v="144.34"/>
    <n v="76172000"/>
    <x v="0"/>
  </r>
  <r>
    <s v="S818"/>
    <x v="0"/>
    <s v="Synthetic Title 818"/>
    <s v="Christopher Nolan"/>
    <s v="Zendaya, Morgan Freeman"/>
    <x v="2"/>
    <x v="725"/>
    <x v="30"/>
    <x v="3"/>
    <x v="29"/>
    <x v="0"/>
    <x v="0"/>
    <n v="3.5"/>
    <n v="103.33"/>
    <n v="59208000"/>
    <x v="0"/>
  </r>
  <r>
    <s v="S819"/>
    <x v="0"/>
    <s v="Synthetic Title 819"/>
    <s v="Christopher Nolan"/>
    <s v="Viola Davis, Zendaya"/>
    <x v="7"/>
    <x v="726"/>
    <x v="18"/>
    <x v="3"/>
    <x v="10"/>
    <x v="0"/>
    <x v="1"/>
    <n v="4"/>
    <n v="130.38"/>
    <n v="49445000"/>
    <x v="1"/>
  </r>
  <r>
    <s v="S820"/>
    <x v="1"/>
    <s v="Synthetic Title 820"/>
    <s v="Martin Scorsese"/>
    <s v="Scarlett Johansson, Zendaya, Viola Davis"/>
    <x v="5"/>
    <x v="259"/>
    <x v="33"/>
    <x v="0"/>
    <x v="98"/>
    <x v="1"/>
    <x v="5"/>
    <n v="7.7"/>
    <n v="76.709999999999994"/>
    <n v="84796000"/>
    <x v="1"/>
  </r>
  <r>
    <s v="S821"/>
    <x v="0"/>
    <s v="Synthetic Title 821"/>
    <s v="Christopher Nolan"/>
    <s v="Morgan Freeman, Viola Davis"/>
    <x v="2"/>
    <x v="727"/>
    <x v="4"/>
    <x v="4"/>
    <x v="7"/>
    <x v="0"/>
    <x v="4"/>
    <n v="8.6"/>
    <n v="89.33"/>
    <n v="75433000"/>
    <x v="1"/>
  </r>
  <r>
    <s v="S822"/>
    <x v="1"/>
    <s v="Synthetic Title 822"/>
    <s v="Steven Spielberg"/>
    <s v="Scarlett Johansson"/>
    <x v="0"/>
    <x v="728"/>
    <x v="18"/>
    <x v="5"/>
    <x v="106"/>
    <x v="1"/>
    <x v="1"/>
    <n v="3.5"/>
    <n v="33.51"/>
    <n v="82110000"/>
    <x v="1"/>
  </r>
  <r>
    <s v="S823"/>
    <x v="0"/>
    <s v="Synthetic Title 823"/>
    <s v="Bong Joon Ho"/>
    <s v="Scarlett Johansson, Morgan Freeman"/>
    <x v="7"/>
    <x v="729"/>
    <x v="11"/>
    <x v="3"/>
    <x v="15"/>
    <x v="0"/>
    <x v="2"/>
    <n v="5.4"/>
    <n v="93.31"/>
    <n v="28622000"/>
    <x v="0"/>
  </r>
  <r>
    <s v="S824"/>
    <x v="1"/>
    <s v="Synthetic Title 824"/>
    <s v="Unassigned"/>
    <s v="Viola Davis"/>
    <x v="6"/>
    <x v="730"/>
    <x v="26"/>
    <x v="5"/>
    <x v="24"/>
    <x v="1"/>
    <x v="4"/>
    <n v="9.1999999999999993"/>
    <n v="94.43"/>
    <n v="71498000"/>
    <x v="0"/>
  </r>
  <r>
    <s v="S825"/>
    <x v="1"/>
    <s v="Synthetic Title 825"/>
    <s v="Steven Spielberg"/>
    <s v="Tom Hanks, Leonardo Dicaprio, Scarlett Johansson"/>
    <x v="0"/>
    <x v="731"/>
    <x v="14"/>
    <x v="1"/>
    <x v="28"/>
    <x v="1"/>
    <x v="1"/>
    <n v="8.8000000000000007"/>
    <n v="28.97"/>
    <n v="87395000"/>
    <x v="1"/>
  </r>
  <r>
    <s v="S826"/>
    <x v="1"/>
    <s v="Synthetic Title 826"/>
    <s v="Bong Joon Ho"/>
    <s v="Scarlett Johansson"/>
    <x v="0"/>
    <x v="732"/>
    <x v="31"/>
    <x v="3"/>
    <x v="69"/>
    <x v="1"/>
    <x v="0"/>
    <n v="10"/>
    <n v="62.2"/>
    <n v="33851000"/>
    <x v="1"/>
  </r>
  <r>
    <s v="S827"/>
    <x v="1"/>
    <s v="Synthetic Title 827"/>
    <s v="Christopher Nolan"/>
    <s v="Leonardo Dicaprio"/>
    <x v="4"/>
    <x v="733"/>
    <x v="0"/>
    <x v="0"/>
    <x v="25"/>
    <x v="1"/>
    <x v="1"/>
    <n v="3.3"/>
    <n v="95.51"/>
    <n v="43164000"/>
    <x v="1"/>
  </r>
  <r>
    <s v="S828"/>
    <x v="0"/>
    <s v="Synthetic Title 828"/>
    <s v="Martin Scorsese"/>
    <s v="Leonardo Dicaprio, Zendaya, Tom Hanks"/>
    <x v="7"/>
    <x v="734"/>
    <x v="7"/>
    <x v="1"/>
    <x v="7"/>
    <x v="0"/>
    <x v="2"/>
    <n v="2.7"/>
    <n v="38.799999999999997"/>
    <n v="40472000"/>
    <x v="1"/>
  </r>
  <r>
    <s v="S829"/>
    <x v="0"/>
    <s v="Synthetic Title 829"/>
    <s v="Greta Gerwig"/>
    <s v="Viola Davis, Leonardo Dicaprio"/>
    <x v="7"/>
    <x v="735"/>
    <x v="8"/>
    <x v="3"/>
    <x v="4"/>
    <x v="0"/>
    <x v="1"/>
    <n v="7.8"/>
    <n v="78.72"/>
    <n v="15150000"/>
    <x v="1"/>
  </r>
  <r>
    <s v="S830"/>
    <x v="1"/>
    <s v="Synthetic Title 830"/>
    <s v="Greta Gerwig"/>
    <s v="Scarlett Johansson, Leonardo Dicaprio, Morgan Freeman"/>
    <x v="0"/>
    <x v="736"/>
    <x v="16"/>
    <x v="4"/>
    <x v="92"/>
    <x v="1"/>
    <x v="2"/>
    <n v="9.6"/>
    <n v="9.36"/>
    <n v="80431000"/>
    <x v="1"/>
  </r>
  <r>
    <s v="S831"/>
    <x v="1"/>
    <s v="Synthetic Title 831"/>
    <s v="Steven Spielberg"/>
    <s v="Leonardo Dicaprio"/>
    <x v="0"/>
    <x v="737"/>
    <x v="2"/>
    <x v="4"/>
    <x v="38"/>
    <x v="1"/>
    <x v="5"/>
    <n v="9.6999999999999993"/>
    <n v="98.67"/>
    <n v="25560000"/>
    <x v="0"/>
  </r>
  <r>
    <s v="S832"/>
    <x v="1"/>
    <s v="Synthetic Title 832"/>
    <s v="Unassigned"/>
    <s v="Scarlett Johansson"/>
    <x v="0"/>
    <x v="738"/>
    <x v="27"/>
    <x v="2"/>
    <x v="45"/>
    <x v="1"/>
    <x v="4"/>
    <n v="5"/>
    <n v="16.649999999999999"/>
    <n v="56528000"/>
    <x v="0"/>
  </r>
  <r>
    <s v="S833"/>
    <x v="0"/>
    <s v="Synthetic Title 833"/>
    <s v="Steven Spielberg"/>
    <s v="Morgan Freeman, Scarlett Johansson, Brad Pitt"/>
    <x v="0"/>
    <x v="739"/>
    <x v="31"/>
    <x v="4"/>
    <x v="7"/>
    <x v="0"/>
    <x v="2"/>
    <n v="1.5"/>
    <n v="76.31"/>
    <n v="38502000"/>
    <x v="0"/>
  </r>
  <r>
    <s v="S834"/>
    <x v="1"/>
    <s v="Synthetic Title 834"/>
    <s v="Christopher Nolan"/>
    <s v="Tom Hanks"/>
    <x v="7"/>
    <x v="740"/>
    <x v="25"/>
    <x v="1"/>
    <x v="8"/>
    <x v="1"/>
    <x v="3"/>
    <n v="7.7"/>
    <n v="55.38"/>
    <n v="43286000"/>
    <x v="1"/>
  </r>
  <r>
    <s v="S835"/>
    <x v="1"/>
    <s v="Synthetic Title 835"/>
    <s v="Bong Joon Ho"/>
    <s v="Brad Pitt"/>
    <x v="5"/>
    <x v="741"/>
    <x v="0"/>
    <x v="5"/>
    <x v="109"/>
    <x v="1"/>
    <x v="5"/>
    <n v="9.1"/>
    <n v="97.06"/>
    <n v="49911000"/>
    <x v="1"/>
  </r>
  <r>
    <s v="S836"/>
    <x v="1"/>
    <s v="Synthetic Title 836"/>
    <s v="Christopher Nolan"/>
    <s v="Viola Davis, Scarlett Johansson"/>
    <x v="5"/>
    <x v="742"/>
    <x v="25"/>
    <x v="1"/>
    <x v="45"/>
    <x v="1"/>
    <x v="3"/>
    <n v="6.7"/>
    <n v="60.09"/>
    <n v="100272000"/>
    <x v="1"/>
  </r>
  <r>
    <s v="S837"/>
    <x v="0"/>
    <s v="Synthetic Title 837"/>
    <s v="Ava Duvernay"/>
    <s v="Viola Davis, Morgan Freeman, Tom Hanks"/>
    <x v="6"/>
    <x v="743"/>
    <x v="22"/>
    <x v="4"/>
    <x v="0"/>
    <x v="0"/>
    <x v="3"/>
    <n v="3.6"/>
    <n v="72.760000000000005"/>
    <n v="71504000"/>
    <x v="1"/>
  </r>
  <r>
    <s v="S838"/>
    <x v="1"/>
    <s v="Synthetic Title 838"/>
    <s v="Steven Spielberg"/>
    <s v="Zendaya, Tom Hanks"/>
    <x v="5"/>
    <x v="744"/>
    <x v="24"/>
    <x v="4"/>
    <x v="79"/>
    <x v="1"/>
    <x v="4"/>
    <n v="6.1"/>
    <n v="49.94"/>
    <n v="14666000"/>
    <x v="0"/>
  </r>
  <r>
    <s v="S839"/>
    <x v="1"/>
    <s v="Synthetic Title 839"/>
    <s v="Steven Spielberg"/>
    <s v="Unassigned"/>
    <x v="6"/>
    <x v="85"/>
    <x v="9"/>
    <x v="0"/>
    <x v="129"/>
    <x v="1"/>
    <x v="4"/>
    <n v="5.9"/>
    <n v="117.15"/>
    <n v="35750000"/>
    <x v="0"/>
  </r>
  <r>
    <s v="S840"/>
    <x v="0"/>
    <s v="Synthetic Title 840"/>
    <s v="Greta Gerwig"/>
    <s v="Zendaya, Scarlett Johansson, Leonardo Dicaprio"/>
    <x v="3"/>
    <x v="745"/>
    <x v="7"/>
    <x v="2"/>
    <x v="9"/>
    <x v="0"/>
    <x v="3"/>
    <n v="8.6999999999999993"/>
    <n v="11.64"/>
    <n v="66703000"/>
    <x v="0"/>
  </r>
  <r>
    <s v="S841"/>
    <x v="1"/>
    <s v="Synthetic Title 841"/>
    <s v="Unassigned"/>
    <s v="Morgan Freeman, Zendaya"/>
    <x v="4"/>
    <x v="435"/>
    <x v="30"/>
    <x v="4"/>
    <x v="43"/>
    <x v="1"/>
    <x v="2"/>
    <n v="3.9"/>
    <n v="67.930000000000007"/>
    <n v="67149000"/>
    <x v="0"/>
  </r>
  <r>
    <s v="S842"/>
    <x v="1"/>
    <s v="Synthetic Title 842"/>
    <s v="Ava Duvernay"/>
    <s v="Tom Hanks, Viola Davis"/>
    <x v="2"/>
    <x v="429"/>
    <x v="2"/>
    <x v="0"/>
    <x v="27"/>
    <x v="1"/>
    <x v="4"/>
    <n v="9.1999999999999993"/>
    <n v="100.28"/>
    <n v="26188000"/>
    <x v="1"/>
  </r>
  <r>
    <s v="S843"/>
    <x v="0"/>
    <s v="Synthetic Title 843"/>
    <s v="Steven Spielberg"/>
    <s v="Unassigned"/>
    <x v="4"/>
    <x v="746"/>
    <x v="25"/>
    <x v="5"/>
    <x v="10"/>
    <x v="0"/>
    <x v="1"/>
    <n v="999"/>
    <n v="64.17"/>
    <n v="75999000"/>
    <x v="1"/>
  </r>
  <r>
    <s v="S844"/>
    <x v="0"/>
    <s v="Synthetic Title 844"/>
    <s v="Bong Joon Ho"/>
    <s v="Viola Davis, Tom Hanks, Brad Pitt"/>
    <x v="0"/>
    <x v="747"/>
    <x v="0"/>
    <x v="1"/>
    <x v="9"/>
    <x v="0"/>
    <x v="5"/>
    <n v="8.8000000000000007"/>
    <n v="75.59"/>
    <n v="14512000"/>
    <x v="0"/>
  </r>
  <r>
    <s v="S845"/>
    <x v="1"/>
    <s v="Synthetic Title 845"/>
    <s v="Steven Spielberg"/>
    <s v="Viola Davis"/>
    <x v="6"/>
    <x v="170"/>
    <x v="5"/>
    <x v="4"/>
    <x v="67"/>
    <x v="1"/>
    <x v="2"/>
    <n v="1.4"/>
    <n v="3.79"/>
    <n v="58528000"/>
    <x v="1"/>
  </r>
  <r>
    <s v="S846"/>
    <x v="1"/>
    <s v="Synthetic Title 846"/>
    <s v="Greta Gerwig"/>
    <s v="Tom Hanks, Zendaya"/>
    <x v="2"/>
    <x v="748"/>
    <x v="16"/>
    <x v="2"/>
    <x v="82"/>
    <x v="1"/>
    <x v="0"/>
    <n v="7.6"/>
    <n v="20.36"/>
    <n v="50621000"/>
    <x v="0"/>
  </r>
  <r>
    <s v="S847"/>
    <x v="0"/>
    <s v="Synthetic Title 847"/>
    <s v="Christopher Nolan"/>
    <s v="Viola Davis, Scarlett Johansson"/>
    <x v="6"/>
    <x v="96"/>
    <x v="22"/>
    <x v="5"/>
    <x v="13"/>
    <x v="0"/>
    <x v="2"/>
    <n v="1.5"/>
    <n v="95.19"/>
    <n v="48766000"/>
    <x v="0"/>
  </r>
  <r>
    <s v="S848"/>
    <x v="0"/>
    <s v="Synthetic Title 848"/>
    <s v="Martin Scorsese"/>
    <s v="Brad Pitt, Leonardo Dicaprio, Morgan Freeman"/>
    <x v="2"/>
    <x v="749"/>
    <x v="8"/>
    <x v="1"/>
    <x v="15"/>
    <x v="0"/>
    <x v="4"/>
    <n v="4"/>
    <n v="77.52"/>
    <n v="49542000"/>
    <x v="0"/>
  </r>
  <r>
    <s v="S849"/>
    <x v="0"/>
    <s v="Synthetic Title 849"/>
    <s v="Unassigned"/>
    <s v="Tom Hanks, Leonardo Dicaprio"/>
    <x v="5"/>
    <x v="750"/>
    <x v="4"/>
    <x v="5"/>
    <x v="4"/>
    <x v="0"/>
    <x v="2"/>
    <n v="4.5999999999999996"/>
    <n v="78.03"/>
    <n v="76608000"/>
    <x v="1"/>
  </r>
  <r>
    <s v="S850"/>
    <x v="1"/>
    <s v="Synthetic Title 850"/>
    <s v="Martin Scorsese"/>
    <s v="Zendaya, Morgan Freeman, Viola Davis"/>
    <x v="2"/>
    <x v="751"/>
    <x v="29"/>
    <x v="3"/>
    <x v="77"/>
    <x v="1"/>
    <x v="1"/>
    <n v="1.9"/>
    <n v="121.32"/>
    <n v="9722000"/>
    <x v="1"/>
  </r>
  <r>
    <s v="S851"/>
    <x v="1"/>
    <s v="Synthetic Title 851"/>
    <s v="Bong Joon Ho"/>
    <s v="Morgan Freeman, Tom Hanks"/>
    <x v="7"/>
    <x v="752"/>
    <x v="22"/>
    <x v="3"/>
    <x v="85"/>
    <x v="1"/>
    <x v="4"/>
    <n v="3.3"/>
    <n v="97.34"/>
    <n v="39957000"/>
    <x v="1"/>
  </r>
  <r>
    <s v="S852"/>
    <x v="1"/>
    <s v="Synthetic Title 852"/>
    <s v="Ava Duvernay"/>
    <s v="Brad Pitt, Scarlett Johansson"/>
    <x v="5"/>
    <x v="753"/>
    <x v="1"/>
    <x v="1"/>
    <x v="34"/>
    <x v="1"/>
    <x v="1"/>
    <n v="9.3000000000000007"/>
    <n v="111.52"/>
    <n v="76481000"/>
    <x v="1"/>
  </r>
  <r>
    <s v="S853"/>
    <x v="0"/>
    <s v="Synthetic Title 853"/>
    <s v="Ava Duvernay"/>
    <s v="Scarlett Johansson, Brad Pitt"/>
    <x v="5"/>
    <x v="754"/>
    <x v="29"/>
    <x v="3"/>
    <x v="10"/>
    <x v="0"/>
    <x v="0"/>
    <n v="9.3000000000000007"/>
    <n v="121.98"/>
    <n v="86512000"/>
    <x v="1"/>
  </r>
  <r>
    <s v="S854"/>
    <x v="1"/>
    <s v="Synthetic Title 854"/>
    <s v="Ava Duvernay"/>
    <s v="Leonardo Dicaprio"/>
    <x v="3"/>
    <x v="391"/>
    <x v="2"/>
    <x v="0"/>
    <x v="54"/>
    <x v="1"/>
    <x v="4"/>
    <n v="8.8000000000000007"/>
    <n v="140.68"/>
    <n v="27997000"/>
    <x v="1"/>
  </r>
  <r>
    <s v="S855"/>
    <x v="1"/>
    <s v="Synthetic Title 855"/>
    <s v="Martin Scorsese"/>
    <s v="Scarlett Johansson, Zendaya"/>
    <x v="0"/>
    <x v="755"/>
    <x v="13"/>
    <x v="1"/>
    <x v="128"/>
    <x v="1"/>
    <x v="1"/>
    <n v="8.9"/>
    <n v="72.55"/>
    <n v="49544000"/>
    <x v="0"/>
  </r>
  <r>
    <s v="S856"/>
    <x v="1"/>
    <s v="Synthetic Title 856"/>
    <s v="Unassigned"/>
    <s v="Brad Pitt, Tom Hanks"/>
    <x v="2"/>
    <x v="756"/>
    <x v="6"/>
    <x v="5"/>
    <x v="59"/>
    <x v="1"/>
    <x v="0"/>
    <n v="1.7"/>
    <n v="121.32"/>
    <n v="77916000"/>
    <x v="0"/>
  </r>
  <r>
    <s v="S857"/>
    <x v="1"/>
    <s v="Synthetic Title 857"/>
    <s v="Christopher Nolan"/>
    <s v="Zendaya, Tom Hanks, Viola Davis"/>
    <x v="0"/>
    <x v="757"/>
    <x v="9"/>
    <x v="4"/>
    <x v="126"/>
    <x v="1"/>
    <x v="3"/>
    <n v="9"/>
    <n v="40.08"/>
    <n v="24805000"/>
    <x v="0"/>
  </r>
  <r>
    <s v="S858"/>
    <x v="0"/>
    <s v="Synthetic Title 858"/>
    <s v="Ava Duvernay"/>
    <s v="Morgan Freeman, Tom Hanks, Scarlett Johansson"/>
    <x v="4"/>
    <x v="758"/>
    <x v="30"/>
    <x v="2"/>
    <x v="0"/>
    <x v="0"/>
    <x v="5"/>
    <n v="4.4000000000000004"/>
    <n v="43.35"/>
    <n v="58977000"/>
    <x v="1"/>
  </r>
  <r>
    <s v="S859"/>
    <x v="1"/>
    <s v="Synthetic Title 859"/>
    <s v="Steven Spielberg"/>
    <s v="Scarlett Johansson, Morgan Freeman"/>
    <x v="4"/>
    <x v="759"/>
    <x v="19"/>
    <x v="3"/>
    <x v="97"/>
    <x v="1"/>
    <x v="2"/>
    <n v="9.6"/>
    <n v="130.97"/>
    <n v="33765000"/>
    <x v="1"/>
  </r>
  <r>
    <s v="S860"/>
    <x v="0"/>
    <s v="Synthetic Title 860"/>
    <s v="Martin Scorsese"/>
    <s v="Brad Pitt, Tom Hanks"/>
    <x v="4"/>
    <x v="760"/>
    <x v="9"/>
    <x v="5"/>
    <x v="9"/>
    <x v="0"/>
    <x v="5"/>
    <n v="999"/>
    <n v="147.59"/>
    <n v="29587000"/>
    <x v="1"/>
  </r>
  <r>
    <s v="S861"/>
    <x v="1"/>
    <s v="Synthetic Title 861"/>
    <s v="Martin Scorsese"/>
    <s v="Viola Davis, Leonardo Dicaprio, Brad Pitt"/>
    <x v="1"/>
    <x v="761"/>
    <x v="32"/>
    <x v="2"/>
    <x v="28"/>
    <x v="1"/>
    <x v="1"/>
    <n v="8.1999999999999993"/>
    <n v="123.83"/>
    <n v="54417000"/>
    <x v="1"/>
  </r>
  <r>
    <s v="S862"/>
    <x v="0"/>
    <s v="Synthetic Title 862"/>
    <s v="Bong Joon Ho"/>
    <s v="Scarlett Johansson, Zendaya, Tom Hanks"/>
    <x v="7"/>
    <x v="762"/>
    <x v="30"/>
    <x v="2"/>
    <x v="0"/>
    <x v="0"/>
    <x v="0"/>
    <n v="2.4"/>
    <n v="50.85"/>
    <n v="25178000"/>
    <x v="1"/>
  </r>
  <r>
    <s v="S863"/>
    <x v="0"/>
    <s v="Synthetic Title 863"/>
    <s v="Martin Scorsese"/>
    <s v="Zendaya, Brad Pitt, Leonardo Dicaprio"/>
    <x v="2"/>
    <x v="733"/>
    <x v="6"/>
    <x v="1"/>
    <x v="29"/>
    <x v="0"/>
    <x v="4"/>
    <n v="5"/>
    <n v="105.31"/>
    <n v="77633000"/>
    <x v="1"/>
  </r>
  <r>
    <s v="S864"/>
    <x v="1"/>
    <s v="Synthetic Title 864"/>
    <s v="Christopher Nolan"/>
    <s v="Leonardo Dicaprio, Zendaya"/>
    <x v="5"/>
    <x v="763"/>
    <x v="29"/>
    <x v="2"/>
    <x v="19"/>
    <x v="1"/>
    <x v="3"/>
    <n v="1.4"/>
    <n v="133.47999999999999"/>
    <n v="5690000"/>
    <x v="1"/>
  </r>
  <r>
    <s v="S865"/>
    <x v="0"/>
    <s v="Synthetic Title 865"/>
    <s v="Steven Spielberg"/>
    <s v="Viola Davis, Leonardo Dicaprio"/>
    <x v="0"/>
    <x v="764"/>
    <x v="30"/>
    <x v="4"/>
    <x v="10"/>
    <x v="0"/>
    <x v="5"/>
    <n v="4.5"/>
    <n v="86.69"/>
    <n v="9908000"/>
    <x v="1"/>
  </r>
  <r>
    <s v="S866"/>
    <x v="0"/>
    <s v="Synthetic Title 866"/>
    <s v="Ava Duvernay"/>
    <s v="Morgan Freeman"/>
    <x v="6"/>
    <x v="765"/>
    <x v="22"/>
    <x v="4"/>
    <x v="4"/>
    <x v="0"/>
    <x v="2"/>
    <n v="2.6"/>
    <n v="28.91"/>
    <n v="56849000"/>
    <x v="1"/>
  </r>
  <r>
    <s v="S867"/>
    <x v="1"/>
    <s v="Synthetic Title 867"/>
    <s v="Ava Duvernay"/>
    <s v="Viola Davis"/>
    <x v="0"/>
    <x v="658"/>
    <x v="23"/>
    <x v="5"/>
    <x v="79"/>
    <x v="1"/>
    <x v="1"/>
    <n v="5.6"/>
    <n v="12.18"/>
    <n v="16899000"/>
    <x v="1"/>
  </r>
  <r>
    <s v="S868"/>
    <x v="0"/>
    <s v="Synthetic Title 868"/>
    <s v="Ava Duvernay"/>
    <s v="Leonardo Dicaprio, Brad Pitt, Scarlett Johansson"/>
    <x v="7"/>
    <x v="766"/>
    <x v="19"/>
    <x v="5"/>
    <x v="15"/>
    <x v="0"/>
    <x v="5"/>
    <n v="2.5"/>
    <n v="62.49"/>
    <n v="77979000"/>
    <x v="1"/>
  </r>
  <r>
    <s v="S869"/>
    <x v="1"/>
    <s v="Synthetic Title 869"/>
    <s v="Bong Joon Ho"/>
    <s v="Brad Pitt, Scarlett Johansson, Zendaya"/>
    <x v="2"/>
    <x v="767"/>
    <x v="11"/>
    <x v="0"/>
    <x v="21"/>
    <x v="1"/>
    <x v="5"/>
    <n v="6.8"/>
    <n v="8.42"/>
    <n v="20689000"/>
    <x v="0"/>
  </r>
  <r>
    <s v="S870"/>
    <x v="0"/>
    <s v="Synthetic Title 870"/>
    <s v="Bong Joon Ho"/>
    <s v="Leonardo Dicaprio"/>
    <x v="6"/>
    <x v="768"/>
    <x v="12"/>
    <x v="4"/>
    <x v="15"/>
    <x v="0"/>
    <x v="3"/>
    <n v="7.6"/>
    <n v="0.42"/>
    <n v="2581000"/>
    <x v="1"/>
  </r>
  <r>
    <s v="S871"/>
    <x v="0"/>
    <s v="Synthetic Title 871"/>
    <s v="Unassigned"/>
    <s v="Leonardo Dicaprio, Brad Pitt, Scarlett Johansson"/>
    <x v="7"/>
    <x v="769"/>
    <x v="19"/>
    <x v="4"/>
    <x v="29"/>
    <x v="0"/>
    <x v="1"/>
    <n v="8.1"/>
    <n v="141.84"/>
    <n v="72418000"/>
    <x v="1"/>
  </r>
  <r>
    <s v="S872"/>
    <x v="1"/>
    <s v="Synthetic Title 872"/>
    <s v="Martin Scorsese"/>
    <s v="Viola Davis"/>
    <x v="2"/>
    <x v="770"/>
    <x v="16"/>
    <x v="2"/>
    <x v="51"/>
    <x v="1"/>
    <x v="5"/>
    <n v="6.7"/>
    <n v="74.62"/>
    <n v="36266000"/>
    <x v="1"/>
  </r>
  <r>
    <s v="S873"/>
    <x v="1"/>
    <s v="Synthetic Title 873"/>
    <s v="Bong Joon Ho"/>
    <s v="Unassigned"/>
    <x v="5"/>
    <x v="771"/>
    <x v="17"/>
    <x v="0"/>
    <x v="5"/>
    <x v="1"/>
    <x v="4"/>
    <n v="4.2"/>
    <n v="79.2"/>
    <n v="40788000"/>
    <x v="1"/>
  </r>
  <r>
    <s v="S874"/>
    <x v="0"/>
    <s v="Synthetic Title 874"/>
    <s v="Bong Joon Ho"/>
    <s v="Brad Pitt, Scarlett Johansson"/>
    <x v="4"/>
    <x v="337"/>
    <x v="11"/>
    <x v="5"/>
    <x v="7"/>
    <x v="0"/>
    <x v="2"/>
    <n v="5.2"/>
    <n v="98.63"/>
    <n v="8738000"/>
    <x v="0"/>
  </r>
  <r>
    <s v="S875"/>
    <x v="0"/>
    <s v="Synthetic Title 875"/>
    <s v="Steven Spielberg"/>
    <s v="Leonardo Dicaprio"/>
    <x v="3"/>
    <x v="772"/>
    <x v="23"/>
    <x v="5"/>
    <x v="15"/>
    <x v="0"/>
    <x v="5"/>
    <n v="3.2"/>
    <n v="61.16"/>
    <n v="11820000"/>
    <x v="1"/>
  </r>
  <r>
    <s v="S876"/>
    <x v="0"/>
    <s v="Synthetic Title 876"/>
    <s v="Greta Gerwig"/>
    <s v="Morgan Freeman, Leonardo Dicaprio"/>
    <x v="3"/>
    <x v="773"/>
    <x v="16"/>
    <x v="5"/>
    <x v="15"/>
    <x v="0"/>
    <x v="2"/>
    <n v="9.6999999999999993"/>
    <n v="47.29"/>
    <n v="20785000"/>
    <x v="0"/>
  </r>
  <r>
    <s v="S877"/>
    <x v="1"/>
    <s v="Synthetic Title 877"/>
    <s v="Steven Spielberg"/>
    <s v="Brad Pitt, Tom Hanks"/>
    <x v="0"/>
    <x v="591"/>
    <x v="18"/>
    <x v="3"/>
    <x v="19"/>
    <x v="1"/>
    <x v="3"/>
    <n v="2.2999999999999998"/>
    <n v="97.9"/>
    <n v="11943000"/>
    <x v="1"/>
  </r>
  <r>
    <s v="S878"/>
    <x v="1"/>
    <s v="Synthetic Title 878"/>
    <s v="Steven Spielberg"/>
    <s v="Zendaya, Morgan Freeman"/>
    <x v="0"/>
    <x v="774"/>
    <x v="7"/>
    <x v="4"/>
    <x v="59"/>
    <x v="1"/>
    <x v="4"/>
    <n v="8.6999999999999993"/>
    <n v="141.41999999999999"/>
    <n v="67558000"/>
    <x v="0"/>
  </r>
  <r>
    <s v="S879"/>
    <x v="1"/>
    <s v="Synthetic Title 879"/>
    <s v="Steven Spielberg"/>
    <s v="Unassigned"/>
    <x v="1"/>
    <x v="775"/>
    <x v="20"/>
    <x v="2"/>
    <x v="50"/>
    <x v="1"/>
    <x v="5"/>
    <n v="7.8"/>
    <n v="15.52"/>
    <n v="85458000"/>
    <x v="1"/>
  </r>
  <r>
    <s v="S880"/>
    <x v="0"/>
    <s v="Synthetic Title 880"/>
    <s v="Greta Gerwig"/>
    <s v="Brad Pitt, Morgan Freeman"/>
    <x v="5"/>
    <x v="776"/>
    <x v="29"/>
    <x v="1"/>
    <x v="26"/>
    <x v="0"/>
    <x v="4"/>
    <n v="3.8"/>
    <n v="30.11"/>
    <n v="81306000"/>
    <x v="0"/>
  </r>
  <r>
    <s v="S881"/>
    <x v="0"/>
    <s v="Synthetic Title 881"/>
    <s v="Steven Spielberg"/>
    <s v="Tom Hanks"/>
    <x v="2"/>
    <x v="777"/>
    <x v="11"/>
    <x v="0"/>
    <x v="4"/>
    <x v="0"/>
    <x v="1"/>
    <n v="6.9"/>
    <n v="9.49"/>
    <n v="36749000"/>
    <x v="0"/>
  </r>
  <r>
    <s v="S882"/>
    <x v="1"/>
    <s v="Synthetic Title 882"/>
    <s v="Steven Spielberg"/>
    <s v="Scarlett Johansson"/>
    <x v="7"/>
    <x v="56"/>
    <x v="10"/>
    <x v="3"/>
    <x v="49"/>
    <x v="1"/>
    <x v="1"/>
    <n v="7.9"/>
    <n v="31.95"/>
    <n v="20612000"/>
    <x v="0"/>
  </r>
  <r>
    <s v="S883"/>
    <x v="0"/>
    <s v="Synthetic Title 883"/>
    <s v="Bong Joon Ho"/>
    <s v="Scarlett Johansson, Morgan Freeman"/>
    <x v="6"/>
    <x v="778"/>
    <x v="22"/>
    <x v="4"/>
    <x v="26"/>
    <x v="0"/>
    <x v="0"/>
    <n v="9.1"/>
    <n v="29.69"/>
    <n v="17423000"/>
    <x v="1"/>
  </r>
  <r>
    <s v="S884"/>
    <x v="1"/>
    <s v="Synthetic Title 884"/>
    <s v="Greta Gerwig"/>
    <s v="Leonardo Dicaprio, Tom Hanks, Scarlett Johansson"/>
    <x v="1"/>
    <x v="779"/>
    <x v="29"/>
    <x v="4"/>
    <x v="115"/>
    <x v="1"/>
    <x v="1"/>
    <n v="7.2"/>
    <n v="26.9"/>
    <n v="64311000"/>
    <x v="0"/>
  </r>
  <r>
    <s v="S885"/>
    <x v="0"/>
    <s v="Synthetic Title 885"/>
    <s v="Unassigned"/>
    <s v="Brad Pitt, Zendaya, Scarlett Johansson"/>
    <x v="6"/>
    <x v="780"/>
    <x v="25"/>
    <x v="4"/>
    <x v="0"/>
    <x v="0"/>
    <x v="3"/>
    <n v="9"/>
    <n v="22.57"/>
    <n v="74667000"/>
    <x v="0"/>
  </r>
  <r>
    <s v="S886"/>
    <x v="1"/>
    <s v="Synthetic Title 886"/>
    <s v="Steven Spielberg"/>
    <s v="Leonardo Dicaprio"/>
    <x v="3"/>
    <x v="295"/>
    <x v="2"/>
    <x v="5"/>
    <x v="23"/>
    <x v="1"/>
    <x v="2"/>
    <n v="2.6"/>
    <n v="113.72"/>
    <n v="88323000"/>
    <x v="1"/>
  </r>
  <r>
    <s v="S887"/>
    <x v="1"/>
    <s v="Synthetic Title 887"/>
    <s v="Steven Spielberg"/>
    <s v="Viola Davis, Zendaya"/>
    <x v="4"/>
    <x v="781"/>
    <x v="7"/>
    <x v="1"/>
    <x v="38"/>
    <x v="1"/>
    <x v="2"/>
    <n v="4"/>
    <n v="47.37"/>
    <n v="96720000"/>
    <x v="0"/>
  </r>
  <r>
    <s v="S888"/>
    <x v="0"/>
    <s v="Synthetic Title 888"/>
    <s v="Unassigned"/>
    <s v="Scarlett Johansson, Leonardo Dicaprio"/>
    <x v="4"/>
    <x v="782"/>
    <x v="20"/>
    <x v="2"/>
    <x v="0"/>
    <x v="0"/>
    <x v="0"/>
    <n v="1.1000000000000001"/>
    <n v="67.92"/>
    <n v="81561000"/>
    <x v="0"/>
  </r>
  <r>
    <s v="S889"/>
    <x v="1"/>
    <s v="Synthetic Title 889"/>
    <s v="Martin Scorsese"/>
    <s v="Scarlett Johansson, Morgan Freeman"/>
    <x v="3"/>
    <x v="479"/>
    <x v="31"/>
    <x v="3"/>
    <x v="70"/>
    <x v="1"/>
    <x v="3"/>
    <n v="4.5"/>
    <n v="32.17"/>
    <n v="40831000"/>
    <x v="0"/>
  </r>
  <r>
    <s v="S890"/>
    <x v="1"/>
    <s v="Synthetic Title 890"/>
    <s v="Unassigned"/>
    <s v="Brad Pitt, Zendaya, Leonardo Dicaprio"/>
    <x v="4"/>
    <x v="783"/>
    <x v="20"/>
    <x v="5"/>
    <x v="41"/>
    <x v="1"/>
    <x v="1"/>
    <n v="7.4"/>
    <n v="37.049999999999997"/>
    <n v="46961000"/>
    <x v="1"/>
  </r>
  <r>
    <s v="S891"/>
    <x v="1"/>
    <s v="Synthetic Title 891"/>
    <s v="Bong Joon Ho"/>
    <s v="Morgan Freeman, Viola Davis"/>
    <x v="5"/>
    <x v="784"/>
    <x v="14"/>
    <x v="1"/>
    <x v="88"/>
    <x v="1"/>
    <x v="4"/>
    <n v="1.6"/>
    <n v="141.27000000000001"/>
    <n v="83388000"/>
    <x v="1"/>
  </r>
  <r>
    <s v="S892"/>
    <x v="0"/>
    <s v="Synthetic Title 892"/>
    <s v="Martin Scorsese"/>
    <s v="Scarlett Johansson"/>
    <x v="4"/>
    <x v="785"/>
    <x v="19"/>
    <x v="0"/>
    <x v="0"/>
    <x v="0"/>
    <x v="4"/>
    <n v="8"/>
    <n v="43.67"/>
    <n v="18689000"/>
    <x v="1"/>
  </r>
  <r>
    <s v="S893"/>
    <x v="0"/>
    <s v="Synthetic Title 893"/>
    <s v="Unassigned"/>
    <s v="Unassigned"/>
    <x v="1"/>
    <x v="190"/>
    <x v="27"/>
    <x v="4"/>
    <x v="4"/>
    <x v="0"/>
    <x v="5"/>
    <n v="3.9"/>
    <n v="132.96"/>
    <n v="25894000"/>
    <x v="0"/>
  </r>
  <r>
    <s v="S894"/>
    <x v="0"/>
    <s v="Synthetic Title 894"/>
    <s v="Ava Duvernay"/>
    <s v="Zendaya, Leonardo Dicaprio"/>
    <x v="3"/>
    <x v="786"/>
    <x v="0"/>
    <x v="5"/>
    <x v="15"/>
    <x v="0"/>
    <x v="2"/>
    <n v="4.5999999999999996"/>
    <n v="20.91"/>
    <n v="5437000"/>
    <x v="0"/>
  </r>
  <r>
    <s v="S895"/>
    <x v="0"/>
    <s v="Synthetic Title 895"/>
    <s v="Unassigned"/>
    <s v="Tom Hanks, Brad Pitt, Viola Davis"/>
    <x v="6"/>
    <x v="787"/>
    <x v="4"/>
    <x v="4"/>
    <x v="10"/>
    <x v="0"/>
    <x v="2"/>
    <n v="3.2"/>
    <n v="112.98"/>
    <n v="42563000"/>
    <x v="1"/>
  </r>
  <r>
    <s v="S896"/>
    <x v="1"/>
    <s v="Synthetic Title 896"/>
    <s v="Bong Joon Ho"/>
    <s v="Brad Pitt, Tom Hanks"/>
    <x v="4"/>
    <x v="788"/>
    <x v="14"/>
    <x v="5"/>
    <x v="129"/>
    <x v="1"/>
    <x v="1"/>
    <n v="9.6999999999999993"/>
    <n v="36.520000000000003"/>
    <n v="98434000"/>
    <x v="0"/>
  </r>
  <r>
    <s v="S897"/>
    <x v="1"/>
    <s v="Synthetic Title 897"/>
    <s v="Unassigned"/>
    <s v="Leonardo Dicaprio, Zendaya, Scarlett Johansson"/>
    <x v="6"/>
    <x v="789"/>
    <x v="15"/>
    <x v="2"/>
    <x v="128"/>
    <x v="1"/>
    <x v="4"/>
    <n v="8"/>
    <n v="45.02"/>
    <n v="5594000"/>
    <x v="1"/>
  </r>
  <r>
    <s v="S898"/>
    <x v="0"/>
    <s v="Synthetic Title 898"/>
    <s v="Unassigned"/>
    <s v="Zendaya, Tom Hanks, Viola Davis"/>
    <x v="0"/>
    <x v="790"/>
    <x v="23"/>
    <x v="0"/>
    <x v="9"/>
    <x v="0"/>
    <x v="2"/>
    <n v="6.9"/>
    <n v="107.78"/>
    <n v="36386000"/>
    <x v="1"/>
  </r>
  <r>
    <s v="S899"/>
    <x v="0"/>
    <s v="Synthetic Title 899"/>
    <s v="Steven Spielberg"/>
    <s v="Leonardo Dicaprio"/>
    <x v="7"/>
    <x v="791"/>
    <x v="0"/>
    <x v="3"/>
    <x v="7"/>
    <x v="0"/>
    <x v="2"/>
    <n v="2.8"/>
    <n v="137.34"/>
    <n v="89198000"/>
    <x v="1"/>
  </r>
  <r>
    <s v="S900"/>
    <x v="0"/>
    <s v="Synthetic Title 900"/>
    <s v="Martin Scorsese"/>
    <s v="Tom Hanks, Brad Pitt, Scarlett Johansson"/>
    <x v="3"/>
    <x v="792"/>
    <x v="33"/>
    <x v="5"/>
    <x v="9"/>
    <x v="0"/>
    <x v="4"/>
    <n v="2.8"/>
    <n v="0.86"/>
    <n v="16646000"/>
    <x v="0"/>
  </r>
  <r>
    <s v="S901"/>
    <x v="1"/>
    <s v="Synthetic Title 901"/>
    <s v="Bong Joon Ho"/>
    <s v="Scarlett Johansson, Brad Pitt, Viola Davis"/>
    <x v="3"/>
    <x v="28"/>
    <x v="30"/>
    <x v="2"/>
    <x v="120"/>
    <x v="1"/>
    <x v="3"/>
    <n v="5.3"/>
    <n v="31.24"/>
    <n v="69123000"/>
    <x v="0"/>
  </r>
  <r>
    <s v="S902"/>
    <x v="1"/>
    <s v="Synthetic Title 902"/>
    <s v="Martin Scorsese"/>
    <s v="Brad Pitt"/>
    <x v="5"/>
    <x v="793"/>
    <x v="22"/>
    <x v="2"/>
    <x v="63"/>
    <x v="1"/>
    <x v="1"/>
    <n v="3.9"/>
    <n v="48.75"/>
    <n v="11491000"/>
    <x v="0"/>
  </r>
  <r>
    <s v="S903"/>
    <x v="1"/>
    <s v="Synthetic Title 903"/>
    <s v="Christopher Nolan"/>
    <s v="Tom Hanks"/>
    <x v="6"/>
    <x v="794"/>
    <x v="26"/>
    <x v="4"/>
    <x v="79"/>
    <x v="1"/>
    <x v="5"/>
    <n v="3.3"/>
    <n v="115.35"/>
    <n v="92793000"/>
    <x v="0"/>
  </r>
  <r>
    <s v="S904"/>
    <x v="0"/>
    <s v="Synthetic Title 904"/>
    <s v="Steven Spielberg"/>
    <s v="Scarlett Johansson, Tom Hanks"/>
    <x v="3"/>
    <x v="780"/>
    <x v="33"/>
    <x v="5"/>
    <x v="15"/>
    <x v="0"/>
    <x v="5"/>
    <n v="8.6"/>
    <n v="33.25"/>
    <n v="19278000"/>
    <x v="1"/>
  </r>
  <r>
    <s v="S905"/>
    <x v="1"/>
    <s v="Synthetic Title 905"/>
    <s v="Ava Duvernay"/>
    <s v="Scarlett Johansson"/>
    <x v="0"/>
    <x v="795"/>
    <x v="31"/>
    <x v="3"/>
    <x v="79"/>
    <x v="1"/>
    <x v="4"/>
    <n v="7.1"/>
    <n v="65.58"/>
    <n v="23160000"/>
    <x v="0"/>
  </r>
  <r>
    <s v="S906"/>
    <x v="1"/>
    <s v="Synthetic Title 906"/>
    <s v="Greta Gerwig"/>
    <s v="Viola Davis"/>
    <x v="3"/>
    <x v="796"/>
    <x v="6"/>
    <x v="3"/>
    <x v="68"/>
    <x v="1"/>
    <x v="4"/>
    <n v="9.4"/>
    <n v="31.9"/>
    <n v="41284000"/>
    <x v="0"/>
  </r>
  <r>
    <s v="S907"/>
    <x v="0"/>
    <s v="Synthetic Title 907"/>
    <s v="Martin Scorsese"/>
    <s v="Morgan Freeman, Leonardo Dicaprio, Zendaya"/>
    <x v="7"/>
    <x v="797"/>
    <x v="11"/>
    <x v="5"/>
    <x v="0"/>
    <x v="0"/>
    <x v="2"/>
    <n v="6.4"/>
    <n v="33.840000000000003"/>
    <n v="86128000"/>
    <x v="0"/>
  </r>
  <r>
    <s v="S908"/>
    <x v="1"/>
    <s v="Synthetic Title 908"/>
    <s v="Steven Spielberg"/>
    <s v="Zendaya, Leonardo Dicaprio"/>
    <x v="0"/>
    <x v="798"/>
    <x v="30"/>
    <x v="1"/>
    <x v="75"/>
    <x v="1"/>
    <x v="1"/>
    <n v="3.7"/>
    <n v="73.55"/>
    <n v="41341000"/>
    <x v="0"/>
  </r>
  <r>
    <s v="S909"/>
    <x v="0"/>
    <s v="Synthetic Title 909"/>
    <s v="Unassigned"/>
    <s v="Leonardo Dicaprio"/>
    <x v="4"/>
    <x v="799"/>
    <x v="14"/>
    <x v="1"/>
    <x v="10"/>
    <x v="0"/>
    <x v="1"/>
    <n v="5.9"/>
    <n v="63.72"/>
    <n v="69691000"/>
    <x v="0"/>
  </r>
  <r>
    <s v="S910"/>
    <x v="1"/>
    <s v="Synthetic Title 910"/>
    <s v="Christopher Nolan"/>
    <s v="Leonardo Dicaprio, Brad Pitt, Zendaya"/>
    <x v="4"/>
    <x v="800"/>
    <x v="24"/>
    <x v="4"/>
    <x v="80"/>
    <x v="1"/>
    <x v="5"/>
    <n v="8.1"/>
    <n v="90.47"/>
    <n v="57520000"/>
    <x v="0"/>
  </r>
  <r>
    <s v="S911"/>
    <x v="0"/>
    <s v="Synthetic Title 911"/>
    <s v="Greta Gerwig"/>
    <s v="Brad Pitt, Zendaya, Leonardo Dicaprio"/>
    <x v="3"/>
    <x v="801"/>
    <x v="4"/>
    <x v="2"/>
    <x v="0"/>
    <x v="0"/>
    <x v="1"/>
    <n v="9.1"/>
    <n v="75.94"/>
    <n v="73715000"/>
    <x v="0"/>
  </r>
  <r>
    <s v="S912"/>
    <x v="0"/>
    <s v="Synthetic Title 912"/>
    <s v="Steven Spielberg"/>
    <s v="Viola Davis, Zendaya"/>
    <x v="1"/>
    <x v="260"/>
    <x v="7"/>
    <x v="2"/>
    <x v="15"/>
    <x v="0"/>
    <x v="1"/>
    <n v="2.8"/>
    <n v="9.02"/>
    <n v="5610000"/>
    <x v="0"/>
  </r>
  <r>
    <s v="S913"/>
    <x v="1"/>
    <s v="Synthetic Title 913"/>
    <s v="Greta Gerwig"/>
    <s v="Scarlett Johansson, Tom Hanks"/>
    <x v="7"/>
    <x v="802"/>
    <x v="14"/>
    <x v="2"/>
    <x v="101"/>
    <x v="1"/>
    <x v="5"/>
    <n v="2.5"/>
    <n v="112.11"/>
    <n v="91586000"/>
    <x v="1"/>
  </r>
  <r>
    <s v="S914"/>
    <x v="1"/>
    <s v="Synthetic Title 914"/>
    <s v="Greta Gerwig"/>
    <s v="Scarlett Johansson, Morgan Freeman"/>
    <x v="1"/>
    <x v="803"/>
    <x v="4"/>
    <x v="3"/>
    <x v="37"/>
    <x v="1"/>
    <x v="0"/>
    <n v="1.9"/>
    <n v="19.079999999999998"/>
    <n v="88916000"/>
    <x v="1"/>
  </r>
  <r>
    <s v="S915"/>
    <x v="1"/>
    <s v="Synthetic Title 915"/>
    <s v="Unassigned"/>
    <s v="Morgan Freeman, Brad Pitt, Tom Hanks"/>
    <x v="2"/>
    <x v="804"/>
    <x v="24"/>
    <x v="1"/>
    <x v="56"/>
    <x v="1"/>
    <x v="4"/>
    <n v="3.9"/>
    <n v="37.049999999999997"/>
    <n v="90900000"/>
    <x v="1"/>
  </r>
  <r>
    <s v="S916"/>
    <x v="0"/>
    <s v="Synthetic Title 916"/>
    <s v="Christopher Nolan"/>
    <s v="Tom Hanks, Scarlett Johansson, Brad Pitt"/>
    <x v="7"/>
    <x v="805"/>
    <x v="23"/>
    <x v="3"/>
    <x v="4"/>
    <x v="0"/>
    <x v="4"/>
    <n v="999"/>
    <n v="100.85"/>
    <n v="37466000"/>
    <x v="1"/>
  </r>
  <r>
    <s v="S917"/>
    <x v="0"/>
    <s v="Synthetic Title 917"/>
    <s v="Christopher Nolan"/>
    <s v="Tom Hanks"/>
    <x v="7"/>
    <x v="757"/>
    <x v="17"/>
    <x v="0"/>
    <x v="10"/>
    <x v="0"/>
    <x v="2"/>
    <n v="5.0999999999999996"/>
    <n v="40.79"/>
    <n v="26918000"/>
    <x v="1"/>
  </r>
  <r>
    <s v="S918"/>
    <x v="0"/>
    <s v="Synthetic Title 918"/>
    <s v="Ava Duvernay"/>
    <s v="Leonardo Dicaprio, Morgan Freeman, Viola Davis"/>
    <x v="3"/>
    <x v="806"/>
    <x v="30"/>
    <x v="0"/>
    <x v="10"/>
    <x v="0"/>
    <x v="5"/>
    <n v="7.8"/>
    <n v="83.06"/>
    <n v="99532000"/>
    <x v="0"/>
  </r>
  <r>
    <s v="S919"/>
    <x v="1"/>
    <s v="Synthetic Title 919"/>
    <s v="Unassigned"/>
    <s v="Tom Hanks, Leonardo Dicaprio"/>
    <x v="6"/>
    <x v="807"/>
    <x v="14"/>
    <x v="3"/>
    <x v="24"/>
    <x v="1"/>
    <x v="5"/>
    <n v="9.6"/>
    <n v="114.81"/>
    <n v="96829000"/>
    <x v="0"/>
  </r>
  <r>
    <s v="S920"/>
    <x v="1"/>
    <s v="Synthetic Title 920"/>
    <s v="Christopher Nolan"/>
    <s v="Tom Hanks"/>
    <x v="1"/>
    <x v="808"/>
    <x v="13"/>
    <x v="1"/>
    <x v="121"/>
    <x v="1"/>
    <x v="5"/>
    <n v="3.3"/>
    <n v="76.05"/>
    <n v="85966000"/>
    <x v="1"/>
  </r>
  <r>
    <s v="S921"/>
    <x v="1"/>
    <s v="Synthetic Title 921"/>
    <s v="Greta Gerwig"/>
    <s v="Leonardo Dicaprio, Viola Davis"/>
    <x v="6"/>
    <x v="809"/>
    <x v="21"/>
    <x v="1"/>
    <x v="78"/>
    <x v="1"/>
    <x v="4"/>
    <n v="7.9"/>
    <n v="20.420000000000002"/>
    <n v="13334000"/>
    <x v="0"/>
  </r>
  <r>
    <s v="S922"/>
    <x v="1"/>
    <s v="Synthetic Title 922"/>
    <s v="Greta Gerwig"/>
    <s v="Leonardo Dicaprio, Tom Hanks"/>
    <x v="7"/>
    <x v="89"/>
    <x v="16"/>
    <x v="1"/>
    <x v="16"/>
    <x v="1"/>
    <x v="5"/>
    <n v="2.5"/>
    <n v="105.79"/>
    <n v="96517000"/>
    <x v="1"/>
  </r>
  <r>
    <s v="S923"/>
    <x v="1"/>
    <s v="Synthetic Title 923"/>
    <s v="Ava Duvernay"/>
    <s v="Morgan Freeman"/>
    <x v="7"/>
    <x v="810"/>
    <x v="17"/>
    <x v="0"/>
    <x v="63"/>
    <x v="1"/>
    <x v="2"/>
    <n v="1.3"/>
    <n v="35.33"/>
    <n v="30219000"/>
    <x v="1"/>
  </r>
  <r>
    <s v="S924"/>
    <x v="0"/>
    <s v="Synthetic Title 924"/>
    <s v="Martin Scorsese"/>
    <s v="Brad Pitt, Morgan Freeman"/>
    <x v="4"/>
    <x v="811"/>
    <x v="23"/>
    <x v="4"/>
    <x v="0"/>
    <x v="0"/>
    <x v="2"/>
    <n v="1.5"/>
    <n v="49.02"/>
    <n v="44138000"/>
    <x v="0"/>
  </r>
  <r>
    <s v="S925"/>
    <x v="0"/>
    <s v="Synthetic Title 925"/>
    <s v="Ava Duvernay"/>
    <s v="Brad Pitt, Scarlett Johansson, Leonardo Dicaprio"/>
    <x v="2"/>
    <x v="363"/>
    <x v="8"/>
    <x v="1"/>
    <x v="10"/>
    <x v="0"/>
    <x v="5"/>
    <n v="5"/>
    <n v="96.28"/>
    <n v="21312000"/>
    <x v="0"/>
  </r>
  <r>
    <s v="S926"/>
    <x v="0"/>
    <s v="Synthetic Title 926"/>
    <s v="Martin Scorsese"/>
    <s v="Scarlett Johansson"/>
    <x v="0"/>
    <x v="203"/>
    <x v="24"/>
    <x v="3"/>
    <x v="10"/>
    <x v="0"/>
    <x v="1"/>
    <n v="1.9"/>
    <n v="74.540000000000006"/>
    <n v="36397000"/>
    <x v="0"/>
  </r>
  <r>
    <s v="S927"/>
    <x v="1"/>
    <s v="Synthetic Title 927"/>
    <s v="Steven Spielberg"/>
    <s v="Leonardo Dicaprio"/>
    <x v="6"/>
    <x v="812"/>
    <x v="27"/>
    <x v="1"/>
    <x v="82"/>
    <x v="1"/>
    <x v="0"/>
    <n v="9.5"/>
    <n v="29.52"/>
    <n v="64218000"/>
    <x v="0"/>
  </r>
  <r>
    <s v="S928"/>
    <x v="1"/>
    <s v="Synthetic Title 928"/>
    <s v="Martin Scorsese"/>
    <s v="Scarlett Johansson, Leonardo Dicaprio"/>
    <x v="6"/>
    <x v="813"/>
    <x v="31"/>
    <x v="4"/>
    <x v="35"/>
    <x v="1"/>
    <x v="1"/>
    <n v="4.0999999999999996"/>
    <n v="29.84"/>
    <n v="54136000"/>
    <x v="0"/>
  </r>
  <r>
    <s v="S929"/>
    <x v="0"/>
    <s v="Synthetic Title 929"/>
    <s v="Greta Gerwig"/>
    <s v="Scarlett Johansson"/>
    <x v="3"/>
    <x v="814"/>
    <x v="9"/>
    <x v="3"/>
    <x v="15"/>
    <x v="0"/>
    <x v="5"/>
    <n v="9.1999999999999993"/>
    <n v="131.13999999999999"/>
    <n v="62195000"/>
    <x v="1"/>
  </r>
  <r>
    <s v="S930"/>
    <x v="0"/>
    <s v="Synthetic Title 930"/>
    <s v="Steven Spielberg"/>
    <s v="Brad Pitt, Tom Hanks"/>
    <x v="5"/>
    <x v="815"/>
    <x v="29"/>
    <x v="4"/>
    <x v="10"/>
    <x v="0"/>
    <x v="4"/>
    <n v="4"/>
    <n v="29.96"/>
    <n v="35709000"/>
    <x v="0"/>
  </r>
  <r>
    <s v="S931"/>
    <x v="0"/>
    <s v="Synthetic Title 931"/>
    <s v="Martin Scorsese"/>
    <s v="Zendaya, Brad Pitt, Morgan Freeman"/>
    <x v="3"/>
    <x v="816"/>
    <x v="6"/>
    <x v="4"/>
    <x v="4"/>
    <x v="0"/>
    <x v="0"/>
    <n v="9.9"/>
    <n v="63.42"/>
    <n v="74221000"/>
    <x v="1"/>
  </r>
  <r>
    <s v="S932"/>
    <x v="0"/>
    <s v="Synthetic Title 932"/>
    <s v="Steven Spielberg"/>
    <s v="Brad Pitt, Morgan Freeman"/>
    <x v="2"/>
    <x v="817"/>
    <x v="2"/>
    <x v="4"/>
    <x v="2"/>
    <x v="0"/>
    <x v="1"/>
    <n v="3"/>
    <n v="114.73"/>
    <n v="4940000"/>
    <x v="1"/>
  </r>
  <r>
    <s v="S933"/>
    <x v="0"/>
    <s v="Synthetic Title 933"/>
    <s v="Christopher Nolan"/>
    <s v="Zendaya, Morgan Freeman"/>
    <x v="7"/>
    <x v="818"/>
    <x v="16"/>
    <x v="3"/>
    <x v="29"/>
    <x v="0"/>
    <x v="2"/>
    <n v="8.8000000000000007"/>
    <n v="37.53"/>
    <n v="35263000"/>
    <x v="0"/>
  </r>
  <r>
    <s v="S934"/>
    <x v="1"/>
    <s v="Synthetic Title 934"/>
    <s v="Christopher Nolan"/>
    <s v="Zendaya, Scarlett Johansson"/>
    <x v="2"/>
    <x v="819"/>
    <x v="21"/>
    <x v="1"/>
    <x v="106"/>
    <x v="1"/>
    <x v="0"/>
    <n v="3.1"/>
    <n v="111.52"/>
    <n v="77417000"/>
    <x v="1"/>
  </r>
  <r>
    <s v="S935"/>
    <x v="1"/>
    <s v="Synthetic Title 935"/>
    <s v="Steven Spielberg"/>
    <s v="Leonardo Dicaprio"/>
    <x v="7"/>
    <x v="820"/>
    <x v="7"/>
    <x v="5"/>
    <x v="130"/>
    <x v="1"/>
    <x v="1"/>
    <n v="2.5"/>
    <n v="31.26"/>
    <n v="99277000"/>
    <x v="1"/>
  </r>
  <r>
    <s v="S936"/>
    <x v="0"/>
    <s v="Synthetic Title 936"/>
    <s v="Martin Scorsese"/>
    <s v="Tom Hanks, Brad Pitt, Zendaya"/>
    <x v="4"/>
    <x v="821"/>
    <x v="7"/>
    <x v="2"/>
    <x v="9"/>
    <x v="0"/>
    <x v="2"/>
    <n v="4"/>
    <n v="52.46"/>
    <n v="27733000"/>
    <x v="0"/>
  </r>
  <r>
    <s v="S937"/>
    <x v="1"/>
    <s v="Synthetic Title 937"/>
    <s v="Martin Scorsese"/>
    <s v="Unassigned"/>
    <x v="3"/>
    <x v="822"/>
    <x v="10"/>
    <x v="2"/>
    <x v="34"/>
    <x v="1"/>
    <x v="1"/>
    <n v="7.7"/>
    <n v="148.47999999999999"/>
    <n v="52117000"/>
    <x v="1"/>
  </r>
  <r>
    <s v="S938"/>
    <x v="1"/>
    <s v="Synthetic Title 938"/>
    <s v="Unassigned"/>
    <s v="Leonardo Dicaprio"/>
    <x v="0"/>
    <x v="823"/>
    <x v="28"/>
    <x v="3"/>
    <x v="43"/>
    <x v="1"/>
    <x v="3"/>
    <n v="8.4"/>
    <n v="28.19"/>
    <n v="35416000"/>
    <x v="1"/>
  </r>
  <r>
    <s v="S939"/>
    <x v="1"/>
    <s v="Synthetic Title 939"/>
    <s v="Unassigned"/>
    <s v="Zendaya, Tom Hanks"/>
    <x v="7"/>
    <x v="824"/>
    <x v="31"/>
    <x v="4"/>
    <x v="17"/>
    <x v="1"/>
    <x v="4"/>
    <n v="8.6999999999999993"/>
    <n v="147.16"/>
    <n v="54689000"/>
    <x v="1"/>
  </r>
  <r>
    <s v="S940"/>
    <x v="1"/>
    <s v="Synthetic Title 940"/>
    <s v="Martin Scorsese"/>
    <s v="Morgan Freeman, Tom Hanks, Zendaya"/>
    <x v="1"/>
    <x v="633"/>
    <x v="32"/>
    <x v="2"/>
    <x v="67"/>
    <x v="1"/>
    <x v="3"/>
    <n v="5.2"/>
    <n v="121.87"/>
    <n v="61223000"/>
    <x v="0"/>
  </r>
  <r>
    <s v="S941"/>
    <x v="0"/>
    <s v="Synthetic Title 941"/>
    <s v="Ava Duvernay"/>
    <s v="Viola Davis"/>
    <x v="3"/>
    <x v="825"/>
    <x v="2"/>
    <x v="2"/>
    <x v="13"/>
    <x v="0"/>
    <x v="5"/>
    <n v="7.5"/>
    <n v="119.84"/>
    <n v="39610000"/>
    <x v="0"/>
  </r>
  <r>
    <s v="S942"/>
    <x v="0"/>
    <s v="Synthetic Title 942"/>
    <s v="Martin Scorsese"/>
    <s v="Brad Pitt, Zendaya"/>
    <x v="4"/>
    <x v="543"/>
    <x v="4"/>
    <x v="0"/>
    <x v="26"/>
    <x v="0"/>
    <x v="3"/>
    <n v="6.3"/>
    <n v="146.55000000000001"/>
    <n v="34180000"/>
    <x v="1"/>
  </r>
  <r>
    <s v="S943"/>
    <x v="1"/>
    <s v="Synthetic Title 943"/>
    <s v="Steven Spielberg"/>
    <s v="Brad Pitt"/>
    <x v="7"/>
    <x v="826"/>
    <x v="25"/>
    <x v="5"/>
    <x v="69"/>
    <x v="1"/>
    <x v="0"/>
    <n v="8.9"/>
    <n v="137.38"/>
    <n v="75465000"/>
    <x v="0"/>
  </r>
  <r>
    <s v="S944"/>
    <x v="0"/>
    <s v="Synthetic Title 944"/>
    <s v="Martin Scorsese"/>
    <s v="Viola Davis, Zendaya, Brad Pitt"/>
    <x v="4"/>
    <x v="657"/>
    <x v="3"/>
    <x v="3"/>
    <x v="10"/>
    <x v="0"/>
    <x v="1"/>
    <n v="5"/>
    <n v="146.31"/>
    <n v="55389000"/>
    <x v="1"/>
  </r>
  <r>
    <s v="S945"/>
    <x v="1"/>
    <s v="Synthetic Title 945"/>
    <s v="Steven Spielberg"/>
    <s v="Viola Davis, Brad Pitt"/>
    <x v="5"/>
    <x v="827"/>
    <x v="13"/>
    <x v="1"/>
    <x v="33"/>
    <x v="1"/>
    <x v="2"/>
    <n v="999"/>
    <n v="26.6"/>
    <n v="86133000"/>
    <x v="1"/>
  </r>
  <r>
    <s v="S946"/>
    <x v="1"/>
    <s v="Synthetic Title 946"/>
    <s v="Bong Joon Ho"/>
    <s v="Viola Davis"/>
    <x v="6"/>
    <x v="828"/>
    <x v="12"/>
    <x v="4"/>
    <x v="45"/>
    <x v="1"/>
    <x v="5"/>
    <n v="8.6"/>
    <n v="119.35"/>
    <n v="63606000"/>
    <x v="0"/>
  </r>
  <r>
    <s v="S947"/>
    <x v="1"/>
    <s v="Synthetic Title 947"/>
    <s v="Christopher Nolan"/>
    <s v="Morgan Freeman"/>
    <x v="3"/>
    <x v="829"/>
    <x v="8"/>
    <x v="4"/>
    <x v="67"/>
    <x v="1"/>
    <x v="5"/>
    <n v="3.4"/>
    <n v="86.17"/>
    <n v="41108000"/>
    <x v="1"/>
  </r>
  <r>
    <s v="S948"/>
    <x v="1"/>
    <s v="Synthetic Title 948"/>
    <s v="Steven Spielberg"/>
    <s v="Brad Pitt"/>
    <x v="5"/>
    <x v="830"/>
    <x v="7"/>
    <x v="4"/>
    <x v="62"/>
    <x v="1"/>
    <x v="1"/>
    <n v="8.5"/>
    <n v="127.14"/>
    <n v="97423000"/>
    <x v="0"/>
  </r>
  <r>
    <s v="S949"/>
    <x v="0"/>
    <s v="Synthetic Title 949"/>
    <s v="Christopher Nolan"/>
    <s v="Scarlett Johansson, Brad Pitt"/>
    <x v="6"/>
    <x v="256"/>
    <x v="23"/>
    <x v="2"/>
    <x v="4"/>
    <x v="0"/>
    <x v="1"/>
    <n v="4.2"/>
    <n v="115.24"/>
    <n v="55622000"/>
    <x v="0"/>
  </r>
  <r>
    <s v="S950"/>
    <x v="0"/>
    <s v="Synthetic Title 950"/>
    <s v="Unassigned"/>
    <s v="Scarlett Johansson, Morgan Freeman, Viola Davis"/>
    <x v="6"/>
    <x v="831"/>
    <x v="24"/>
    <x v="0"/>
    <x v="2"/>
    <x v="0"/>
    <x v="2"/>
    <n v="7.2"/>
    <n v="59.82"/>
    <n v="64383000"/>
    <x v="0"/>
  </r>
  <r>
    <s v="S951"/>
    <x v="1"/>
    <s v="Synthetic Title 951"/>
    <s v="Greta Gerwig"/>
    <s v="Brad Pitt, Zendaya"/>
    <x v="4"/>
    <x v="486"/>
    <x v="7"/>
    <x v="0"/>
    <x v="55"/>
    <x v="1"/>
    <x v="4"/>
    <n v="4.0999999999999996"/>
    <n v="24.32"/>
    <n v="8662000"/>
    <x v="1"/>
  </r>
  <r>
    <s v="S952"/>
    <x v="0"/>
    <s v="Synthetic Title 952"/>
    <s v="Martin Scorsese"/>
    <s v="Scarlett Johansson, Viola Davis"/>
    <x v="0"/>
    <x v="832"/>
    <x v="1"/>
    <x v="4"/>
    <x v="10"/>
    <x v="0"/>
    <x v="3"/>
    <n v="3.2"/>
    <n v="148.22"/>
    <n v="99502000"/>
    <x v="1"/>
  </r>
  <r>
    <s v="S953"/>
    <x v="1"/>
    <s v="Synthetic Title 953"/>
    <s v="Ava Duvernay"/>
    <s v="Viola Davis, Brad Pitt, Zendaya"/>
    <x v="2"/>
    <x v="833"/>
    <x v="28"/>
    <x v="2"/>
    <x v="56"/>
    <x v="1"/>
    <x v="5"/>
    <n v="8.8000000000000007"/>
    <n v="77.81"/>
    <n v="87442000"/>
    <x v="1"/>
  </r>
  <r>
    <s v="S954"/>
    <x v="1"/>
    <s v="Synthetic Title 954"/>
    <s v="Martin Scorsese"/>
    <s v="Leonardo Dicaprio, Morgan Freeman"/>
    <x v="6"/>
    <x v="834"/>
    <x v="4"/>
    <x v="1"/>
    <x v="16"/>
    <x v="1"/>
    <x v="5"/>
    <n v="6.5"/>
    <n v="10.66"/>
    <n v="44601000"/>
    <x v="1"/>
  </r>
  <r>
    <s v="S955"/>
    <x v="1"/>
    <s v="Synthetic Title 955"/>
    <s v="Ava Duvernay"/>
    <s v="Brad Pitt, Leonardo Dicaprio"/>
    <x v="4"/>
    <x v="806"/>
    <x v="22"/>
    <x v="3"/>
    <x v="54"/>
    <x v="1"/>
    <x v="0"/>
    <n v="6.5"/>
    <n v="50.09"/>
    <n v="1848000"/>
    <x v="0"/>
  </r>
  <r>
    <s v="S956"/>
    <x v="0"/>
    <s v="Synthetic Title 956"/>
    <s v="Martin Scorsese"/>
    <s v="Brad Pitt, Viola Davis"/>
    <x v="0"/>
    <x v="672"/>
    <x v="28"/>
    <x v="3"/>
    <x v="10"/>
    <x v="0"/>
    <x v="3"/>
    <n v="8.5"/>
    <n v="43.35"/>
    <n v="80998000"/>
    <x v="1"/>
  </r>
  <r>
    <s v="S957"/>
    <x v="0"/>
    <s v="Synthetic Title 957"/>
    <s v="Greta Gerwig"/>
    <s v="Zendaya"/>
    <x v="3"/>
    <x v="835"/>
    <x v="28"/>
    <x v="3"/>
    <x v="26"/>
    <x v="0"/>
    <x v="3"/>
    <n v="3.5"/>
    <n v="37.19"/>
    <n v="59392000"/>
    <x v="0"/>
  </r>
  <r>
    <s v="S958"/>
    <x v="0"/>
    <s v="Synthetic Title 958"/>
    <s v="Unassigned"/>
    <s v="Brad Pitt"/>
    <x v="2"/>
    <x v="836"/>
    <x v="23"/>
    <x v="1"/>
    <x v="29"/>
    <x v="0"/>
    <x v="4"/>
    <n v="2.2999999999999998"/>
    <n v="73.67"/>
    <n v="36531000"/>
    <x v="0"/>
  </r>
  <r>
    <s v="S959"/>
    <x v="0"/>
    <s v="Synthetic Title 959"/>
    <s v="Martin Scorsese"/>
    <s v="Unassigned"/>
    <x v="3"/>
    <x v="837"/>
    <x v="17"/>
    <x v="3"/>
    <x v="7"/>
    <x v="0"/>
    <x v="0"/>
    <n v="1.1000000000000001"/>
    <n v="95.21"/>
    <n v="75457000"/>
    <x v="0"/>
  </r>
  <r>
    <s v="S960"/>
    <x v="0"/>
    <s v="Synthetic Title 960"/>
    <s v="Greta Gerwig"/>
    <s v="Unassigned"/>
    <x v="5"/>
    <x v="838"/>
    <x v="19"/>
    <x v="2"/>
    <x v="9"/>
    <x v="0"/>
    <x v="4"/>
    <n v="3.3"/>
    <n v="22.06"/>
    <n v="23146000"/>
    <x v="0"/>
  </r>
  <r>
    <s v="S961"/>
    <x v="1"/>
    <s v="Synthetic Title 961"/>
    <s v="Ava Duvernay"/>
    <s v="Morgan Freeman, Scarlett Johansson"/>
    <x v="0"/>
    <x v="839"/>
    <x v="9"/>
    <x v="4"/>
    <x v="54"/>
    <x v="1"/>
    <x v="3"/>
    <n v="8.4"/>
    <n v="93.14"/>
    <n v="96137000"/>
    <x v="1"/>
  </r>
  <r>
    <s v="S962"/>
    <x v="1"/>
    <s v="Synthetic Title 962"/>
    <s v="Steven Spielberg"/>
    <s v="Leonardo Dicaprio, Viola Davis"/>
    <x v="6"/>
    <x v="840"/>
    <x v="26"/>
    <x v="4"/>
    <x v="89"/>
    <x v="1"/>
    <x v="2"/>
    <n v="5.7"/>
    <n v="7.57"/>
    <n v="52815000"/>
    <x v="1"/>
  </r>
  <r>
    <s v="S963"/>
    <x v="1"/>
    <s v="Synthetic Title 963"/>
    <s v="Ava Duvernay"/>
    <s v="Zendaya, Viola Davis, Leonardo Dicaprio"/>
    <x v="2"/>
    <x v="841"/>
    <x v="23"/>
    <x v="0"/>
    <x v="90"/>
    <x v="1"/>
    <x v="5"/>
    <n v="1.8"/>
    <n v="19.5"/>
    <n v="12923000"/>
    <x v="1"/>
  </r>
  <r>
    <s v="S964"/>
    <x v="0"/>
    <s v="Synthetic Title 964"/>
    <s v="Ava Duvernay"/>
    <s v="Tom Hanks, Brad Pitt, Zendaya"/>
    <x v="3"/>
    <x v="842"/>
    <x v="22"/>
    <x v="5"/>
    <x v="0"/>
    <x v="0"/>
    <x v="3"/>
    <n v="5.0999999999999996"/>
    <n v="96.65"/>
    <n v="99123000"/>
    <x v="0"/>
  </r>
  <r>
    <s v="S965"/>
    <x v="1"/>
    <s v="Synthetic Title 965"/>
    <s v="Bong Joon Ho"/>
    <s v="Leonardo Dicaprio, Morgan Freeman, Zendaya"/>
    <x v="4"/>
    <x v="843"/>
    <x v="1"/>
    <x v="4"/>
    <x v="86"/>
    <x v="1"/>
    <x v="1"/>
    <n v="8"/>
    <n v="68.64"/>
    <n v="82590000"/>
    <x v="1"/>
  </r>
  <r>
    <s v="S966"/>
    <x v="0"/>
    <s v="Synthetic Title 966"/>
    <s v="Bong Joon Ho"/>
    <s v="Viola Davis"/>
    <x v="7"/>
    <x v="677"/>
    <x v="22"/>
    <x v="0"/>
    <x v="4"/>
    <x v="0"/>
    <x v="1"/>
    <n v="3.6"/>
    <n v="63.99"/>
    <n v="9418000"/>
    <x v="0"/>
  </r>
  <r>
    <s v="S967"/>
    <x v="0"/>
    <s v="Synthetic Title 967"/>
    <s v="Steven Spielberg"/>
    <s v="Scarlett Johansson, Morgan Freeman, Zendaya"/>
    <x v="5"/>
    <x v="844"/>
    <x v="23"/>
    <x v="4"/>
    <x v="2"/>
    <x v="0"/>
    <x v="4"/>
    <n v="1.5"/>
    <n v="15.25"/>
    <n v="89961000"/>
    <x v="1"/>
  </r>
  <r>
    <s v="S968"/>
    <x v="0"/>
    <s v="Synthetic Title 968"/>
    <s v="Greta Gerwig"/>
    <s v="Leonardo Dicaprio, Morgan Freeman"/>
    <x v="5"/>
    <x v="845"/>
    <x v="5"/>
    <x v="4"/>
    <x v="13"/>
    <x v="0"/>
    <x v="0"/>
    <n v="7.8"/>
    <n v="136.72999999999999"/>
    <n v="48750000"/>
    <x v="1"/>
  </r>
  <r>
    <s v="S969"/>
    <x v="1"/>
    <s v="Synthetic Title 969"/>
    <s v="Steven Spielberg"/>
    <s v="Brad Pitt, Scarlett Johansson, Morgan Freeman"/>
    <x v="4"/>
    <x v="846"/>
    <x v="32"/>
    <x v="2"/>
    <x v="119"/>
    <x v="1"/>
    <x v="4"/>
    <n v="3.9"/>
    <n v="142.07"/>
    <n v="60894000"/>
    <x v="1"/>
  </r>
  <r>
    <s v="S970"/>
    <x v="0"/>
    <s v="Synthetic Title 970"/>
    <s v="Bong Joon Ho"/>
    <s v="Leonardo Dicaprio, Viola Davis"/>
    <x v="0"/>
    <x v="544"/>
    <x v="9"/>
    <x v="5"/>
    <x v="15"/>
    <x v="0"/>
    <x v="2"/>
    <n v="2.2999999999999998"/>
    <n v="46.78"/>
    <n v="71251000"/>
    <x v="1"/>
  </r>
  <r>
    <s v="S971"/>
    <x v="0"/>
    <s v="Synthetic Title 971"/>
    <s v="Steven Spielberg"/>
    <s v="Scarlett Johansson, Tom Hanks"/>
    <x v="1"/>
    <x v="847"/>
    <x v="30"/>
    <x v="1"/>
    <x v="2"/>
    <x v="0"/>
    <x v="1"/>
    <n v="9.1"/>
    <n v="44.06"/>
    <n v="75560000"/>
    <x v="0"/>
  </r>
  <r>
    <s v="S972"/>
    <x v="0"/>
    <s v="Synthetic Title 972"/>
    <s v="Unassigned"/>
    <s v="Brad Pitt, Scarlett Johansson"/>
    <x v="6"/>
    <x v="247"/>
    <x v="29"/>
    <x v="5"/>
    <x v="13"/>
    <x v="0"/>
    <x v="5"/>
    <n v="8.4"/>
    <n v="61.54"/>
    <n v="97260000"/>
    <x v="0"/>
  </r>
  <r>
    <s v="S973"/>
    <x v="0"/>
    <s v="Synthetic Title 973"/>
    <s v="Christopher Nolan"/>
    <s v="Brad Pitt, Zendaya"/>
    <x v="1"/>
    <x v="848"/>
    <x v="14"/>
    <x v="3"/>
    <x v="13"/>
    <x v="0"/>
    <x v="1"/>
    <n v="1.9"/>
    <n v="88.55"/>
    <n v="81679000"/>
    <x v="0"/>
  </r>
  <r>
    <s v="S974"/>
    <x v="0"/>
    <s v="Synthetic Title 974"/>
    <s v="Martin Scorsese"/>
    <s v="Viola Davis, Leonardo Dicaprio, Brad Pitt"/>
    <x v="0"/>
    <x v="849"/>
    <x v="0"/>
    <x v="5"/>
    <x v="29"/>
    <x v="0"/>
    <x v="4"/>
    <n v="999"/>
    <n v="88.39"/>
    <n v="97328000"/>
    <x v="1"/>
  </r>
  <r>
    <s v="S975"/>
    <x v="1"/>
    <s v="Synthetic Title 975"/>
    <s v="Christopher Nolan"/>
    <s v="Tom Hanks, Zendaya"/>
    <x v="5"/>
    <x v="448"/>
    <x v="26"/>
    <x v="2"/>
    <x v="32"/>
    <x v="1"/>
    <x v="2"/>
    <n v="7.7"/>
    <n v="135.15"/>
    <n v="9105000"/>
    <x v="0"/>
  </r>
  <r>
    <s v="S976"/>
    <x v="1"/>
    <s v="Synthetic Title 976"/>
    <s v="Steven Spielberg"/>
    <s v="Viola Davis, Leonardo Dicaprio"/>
    <x v="6"/>
    <x v="850"/>
    <x v="31"/>
    <x v="3"/>
    <x v="91"/>
    <x v="1"/>
    <x v="3"/>
    <n v="4.2"/>
    <n v="15.82"/>
    <n v="7892000"/>
    <x v="1"/>
  </r>
  <r>
    <s v="S977"/>
    <x v="1"/>
    <s v="Synthetic Title 977"/>
    <s v="Unassigned"/>
    <s v="Viola Davis, Tom Hanks"/>
    <x v="4"/>
    <x v="851"/>
    <x v="26"/>
    <x v="1"/>
    <x v="110"/>
    <x v="1"/>
    <x v="3"/>
    <n v="3.2"/>
    <n v="89.4"/>
    <n v="55587000"/>
    <x v="0"/>
  </r>
  <r>
    <s v="S978"/>
    <x v="1"/>
    <s v="Synthetic Title 978"/>
    <s v="Greta Gerwig"/>
    <s v="Brad Pitt, Tom Hanks, Morgan Freeman"/>
    <x v="2"/>
    <x v="623"/>
    <x v="13"/>
    <x v="5"/>
    <x v="76"/>
    <x v="1"/>
    <x v="2"/>
    <n v="999"/>
    <n v="6.77"/>
    <n v="10367000"/>
    <x v="1"/>
  </r>
  <r>
    <s v="S979"/>
    <x v="1"/>
    <s v="Synthetic Title 979"/>
    <s v="Steven Spielberg"/>
    <s v="Tom Hanks"/>
    <x v="3"/>
    <x v="852"/>
    <x v="11"/>
    <x v="2"/>
    <x v="122"/>
    <x v="1"/>
    <x v="3"/>
    <n v="7.8"/>
    <n v="41.73"/>
    <n v="70695000"/>
    <x v="1"/>
  </r>
  <r>
    <s v="S980"/>
    <x v="1"/>
    <s v="Synthetic Title 980"/>
    <s v="Bong Joon Ho"/>
    <s v="Tom Hanks"/>
    <x v="4"/>
    <x v="853"/>
    <x v="12"/>
    <x v="5"/>
    <x v="84"/>
    <x v="1"/>
    <x v="1"/>
    <n v="6.9"/>
    <n v="104.23"/>
    <n v="90221000"/>
    <x v="0"/>
  </r>
  <r>
    <s v="S981"/>
    <x v="1"/>
    <s v="Synthetic Title 981"/>
    <s v="Ava Duvernay"/>
    <s v="Viola Davis"/>
    <x v="6"/>
    <x v="854"/>
    <x v="10"/>
    <x v="0"/>
    <x v="53"/>
    <x v="1"/>
    <x v="1"/>
    <n v="3.4"/>
    <n v="135.03"/>
    <n v="85131000"/>
    <x v="0"/>
  </r>
  <r>
    <s v="S982"/>
    <x v="1"/>
    <s v="Synthetic Title 982"/>
    <s v="Bong Joon Ho"/>
    <s v="Brad Pitt, Morgan Freeman"/>
    <x v="2"/>
    <x v="300"/>
    <x v="13"/>
    <x v="2"/>
    <x v="88"/>
    <x v="1"/>
    <x v="2"/>
    <n v="1.7"/>
    <n v="77.69"/>
    <n v="72723000"/>
    <x v="1"/>
  </r>
  <r>
    <s v="S983"/>
    <x v="1"/>
    <s v="Synthetic Title 983"/>
    <s v="Martin Scorsese"/>
    <s v="Morgan Freeman"/>
    <x v="3"/>
    <x v="222"/>
    <x v="12"/>
    <x v="2"/>
    <x v="111"/>
    <x v="1"/>
    <x v="0"/>
    <n v="9.8000000000000007"/>
    <n v="46.59"/>
    <n v="18461000"/>
    <x v="0"/>
  </r>
  <r>
    <s v="S984"/>
    <x v="0"/>
    <s v="Synthetic Title 984"/>
    <s v="Unassigned"/>
    <s v="Scarlett Johansson, Zendaya"/>
    <x v="0"/>
    <x v="855"/>
    <x v="24"/>
    <x v="5"/>
    <x v="0"/>
    <x v="0"/>
    <x v="0"/>
    <n v="4.2"/>
    <n v="13.2"/>
    <n v="43303000"/>
    <x v="1"/>
  </r>
  <r>
    <s v="S985"/>
    <x v="0"/>
    <s v="Synthetic Title 985"/>
    <s v="Bong Joon Ho"/>
    <s v="Morgan Freeman, Leonardo Dicaprio"/>
    <x v="3"/>
    <x v="856"/>
    <x v="26"/>
    <x v="2"/>
    <x v="4"/>
    <x v="0"/>
    <x v="2"/>
    <n v="8.6"/>
    <n v="149.16"/>
    <n v="13107000"/>
    <x v="0"/>
  </r>
  <r>
    <s v="S986"/>
    <x v="1"/>
    <s v="Synthetic Title 986"/>
    <s v="Unassigned"/>
    <s v="Scarlett Johansson"/>
    <x v="4"/>
    <x v="857"/>
    <x v="11"/>
    <x v="2"/>
    <x v="36"/>
    <x v="1"/>
    <x v="1"/>
    <n v="3"/>
    <n v="65.87"/>
    <n v="25450000"/>
    <x v="0"/>
  </r>
  <r>
    <s v="S987"/>
    <x v="0"/>
    <s v="Synthetic Title 987"/>
    <s v="Bong Joon Ho"/>
    <s v="Viola Davis, Brad Pitt"/>
    <x v="5"/>
    <x v="858"/>
    <x v="13"/>
    <x v="2"/>
    <x v="15"/>
    <x v="0"/>
    <x v="1"/>
    <n v="5.2"/>
    <n v="19.09"/>
    <n v="79132000"/>
    <x v="1"/>
  </r>
  <r>
    <s v="S988"/>
    <x v="1"/>
    <s v="Synthetic Title 988"/>
    <s v="Unassigned"/>
    <s v="Viola Davis"/>
    <x v="5"/>
    <x v="859"/>
    <x v="17"/>
    <x v="3"/>
    <x v="96"/>
    <x v="1"/>
    <x v="5"/>
    <n v="2.6"/>
    <n v="93.37"/>
    <n v="76436000"/>
    <x v="0"/>
  </r>
  <r>
    <s v="S989"/>
    <x v="0"/>
    <s v="Synthetic Title 989"/>
    <s v="Martin Scorsese"/>
    <s v="Viola Davis, Leonardo Dicaprio, Brad Pitt"/>
    <x v="5"/>
    <x v="519"/>
    <x v="27"/>
    <x v="0"/>
    <x v="26"/>
    <x v="0"/>
    <x v="5"/>
    <n v="2.4"/>
    <n v="11.19"/>
    <n v="40345000"/>
    <x v="1"/>
  </r>
  <r>
    <s v="S990"/>
    <x v="0"/>
    <s v="Synthetic Title 990"/>
    <s v="Christopher Nolan"/>
    <s v="Brad Pitt"/>
    <x v="3"/>
    <x v="860"/>
    <x v="9"/>
    <x v="3"/>
    <x v="15"/>
    <x v="0"/>
    <x v="4"/>
    <n v="8.6999999999999993"/>
    <n v="93.88"/>
    <n v="62813000"/>
    <x v="1"/>
  </r>
  <r>
    <s v="S991"/>
    <x v="0"/>
    <s v="Synthetic Title 991"/>
    <s v="Greta Gerwig"/>
    <s v="Morgan Freeman, Viola Davis, Brad Pitt"/>
    <x v="5"/>
    <x v="861"/>
    <x v="4"/>
    <x v="0"/>
    <x v="10"/>
    <x v="0"/>
    <x v="0"/>
    <n v="2.8"/>
    <n v="21.08"/>
    <n v="76107000"/>
    <x v="0"/>
  </r>
  <r>
    <s v="S992"/>
    <x v="1"/>
    <s v="Synthetic Title 992"/>
    <s v="Ava Duvernay"/>
    <s v="Zendaya, Leonardo Dicaprio, Scarlett Johansson"/>
    <x v="4"/>
    <x v="862"/>
    <x v="21"/>
    <x v="1"/>
    <x v="12"/>
    <x v="1"/>
    <x v="1"/>
    <n v="6.9"/>
    <n v="50.24"/>
    <n v="82453000"/>
    <x v="0"/>
  </r>
  <r>
    <s v="S993"/>
    <x v="1"/>
    <s v="Synthetic Title 993"/>
    <s v="Ava Duvernay"/>
    <s v="Unassigned"/>
    <x v="3"/>
    <x v="863"/>
    <x v="4"/>
    <x v="4"/>
    <x v="127"/>
    <x v="1"/>
    <x v="5"/>
    <n v="7.1"/>
    <n v="83.69"/>
    <n v="47997000"/>
    <x v="0"/>
  </r>
  <r>
    <s v="S994"/>
    <x v="0"/>
    <s v="Synthetic Title 994"/>
    <s v="Steven Spielberg"/>
    <s v="Scarlett Johansson, Brad Pitt, Zendaya"/>
    <x v="3"/>
    <x v="864"/>
    <x v="1"/>
    <x v="1"/>
    <x v="15"/>
    <x v="0"/>
    <x v="2"/>
    <n v="9.4"/>
    <n v="133.36000000000001"/>
    <n v="42997000"/>
    <x v="1"/>
  </r>
  <r>
    <s v="S995"/>
    <x v="0"/>
    <s v="Synthetic Title 995"/>
    <s v="Bong Joon Ho"/>
    <s v="Brad Pitt, Morgan Freeman"/>
    <x v="4"/>
    <x v="865"/>
    <x v="5"/>
    <x v="0"/>
    <x v="26"/>
    <x v="0"/>
    <x v="2"/>
    <n v="7.3"/>
    <n v="108.03"/>
    <n v="39260000"/>
    <x v="1"/>
  </r>
  <r>
    <s v="S996"/>
    <x v="0"/>
    <s v="Synthetic Title 996"/>
    <s v="Bong Joon Ho"/>
    <s v="Unassigned"/>
    <x v="3"/>
    <x v="866"/>
    <x v="18"/>
    <x v="1"/>
    <x v="15"/>
    <x v="0"/>
    <x v="4"/>
    <n v="8.1"/>
    <n v="103.39"/>
    <n v="87178000"/>
    <x v="0"/>
  </r>
  <r>
    <s v="S997"/>
    <x v="1"/>
    <s v="Synthetic Title 997"/>
    <s v="Unassigned"/>
    <s v="Zendaya, Morgan Freeman, Viola Davis"/>
    <x v="7"/>
    <x v="867"/>
    <x v="5"/>
    <x v="5"/>
    <x v="115"/>
    <x v="1"/>
    <x v="2"/>
    <n v="6.5"/>
    <n v="128.29"/>
    <n v="98933000"/>
    <x v="1"/>
  </r>
  <r>
    <s v="S998"/>
    <x v="1"/>
    <s v="Synthetic Title 998"/>
    <s v="Unassigned"/>
    <s v="Morgan Freeman, Zendaya"/>
    <x v="4"/>
    <x v="868"/>
    <x v="17"/>
    <x v="4"/>
    <x v="11"/>
    <x v="1"/>
    <x v="3"/>
    <n v="5.3"/>
    <n v="100.82"/>
    <n v="90764000"/>
    <x v="1"/>
  </r>
  <r>
    <s v="S999"/>
    <x v="0"/>
    <s v="Synthetic Title 999"/>
    <s v="Christopher Nolan"/>
    <s v="Viola Davis, Morgan Freeman, Tom Hanks"/>
    <x v="7"/>
    <x v="869"/>
    <x v="21"/>
    <x v="5"/>
    <x v="10"/>
    <x v="0"/>
    <x v="3"/>
    <n v="4.0999999999999996"/>
    <n v="70.73"/>
    <n v="31152000"/>
    <x v="0"/>
  </r>
  <r>
    <s v="S1000"/>
    <x v="1"/>
    <s v="Synthetic Title 1000"/>
    <s v="Greta Gerwig"/>
    <s v="Viola Davis, Morgan Freeman, Scarlett Johansson"/>
    <x v="5"/>
    <x v="870"/>
    <x v="0"/>
    <x v="5"/>
    <x v="119"/>
    <x v="1"/>
    <x v="4"/>
    <n v="6.6"/>
    <n v="114.73"/>
    <n v="42420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7D23FD-C41D-496F-86FA-A706E664FBE7}" name="Category_Of_Ownership" cacheId="0"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Own Type">
  <location ref="AM13:AN16" firstHeaderRow="1" firstDataRow="1" firstDataCol="1"/>
  <pivotFields count="19">
    <pivotField showAll="0"/>
    <pivotField showAll="0">
      <items count="3">
        <item x="1"/>
        <item x="0"/>
        <item t="default"/>
      </items>
    </pivotField>
    <pivotField showAll="0"/>
    <pivotField showAll="0"/>
    <pivotField showAll="0"/>
    <pivotField showAll="0">
      <items count="9">
        <item x="2"/>
        <item x="5"/>
        <item x="4"/>
        <item x="6"/>
        <item x="0"/>
        <item x="1"/>
        <item x="3"/>
        <item x="7"/>
        <item t="default"/>
      </items>
    </pivotField>
    <pivotField numFmtId="14" showAll="0">
      <items count="872">
        <item x="165"/>
        <item x="703"/>
        <item x="531"/>
        <item x="79"/>
        <item x="224"/>
        <item x="604"/>
        <item x="779"/>
        <item x="756"/>
        <item x="682"/>
        <item x="716"/>
        <item x="46"/>
        <item x="172"/>
        <item x="558"/>
        <item x="203"/>
        <item x="39"/>
        <item x="296"/>
        <item x="555"/>
        <item x="763"/>
        <item x="649"/>
        <item x="263"/>
        <item x="303"/>
        <item x="330"/>
        <item x="16"/>
        <item x="605"/>
        <item x="654"/>
        <item x="581"/>
        <item x="639"/>
        <item x="422"/>
        <item x="835"/>
        <item x="799"/>
        <item x="469"/>
        <item x="868"/>
        <item x="680"/>
        <item x="533"/>
        <item x="452"/>
        <item x="839"/>
        <item x="418"/>
        <item x="138"/>
        <item x="600"/>
        <item x="778"/>
        <item x="856"/>
        <item x="603"/>
        <item x="565"/>
        <item x="147"/>
        <item x="546"/>
        <item x="239"/>
        <item x="625"/>
        <item x="577"/>
        <item x="382"/>
        <item x="22"/>
        <item x="264"/>
        <item x="502"/>
        <item x="258"/>
        <item x="351"/>
        <item x="237"/>
        <item x="425"/>
        <item x="563"/>
        <item x="412"/>
        <item x="211"/>
        <item x="11"/>
        <item x="223"/>
        <item x="829"/>
        <item x="254"/>
        <item x="863"/>
        <item x="229"/>
        <item x="448"/>
        <item x="173"/>
        <item x="379"/>
        <item x="325"/>
        <item x="267"/>
        <item x="544"/>
        <item x="131"/>
        <item x="310"/>
        <item x="332"/>
        <item x="564"/>
        <item x="291"/>
        <item x="637"/>
        <item x="575"/>
        <item x="571"/>
        <item x="836"/>
        <item x="221"/>
        <item x="552"/>
        <item x="350"/>
        <item x="505"/>
        <item x="470"/>
        <item x="395"/>
        <item x="719"/>
        <item x="59"/>
        <item x="767"/>
        <item x="161"/>
        <item x="624"/>
        <item x="381"/>
        <item x="251"/>
        <item x="679"/>
        <item x="406"/>
        <item x="77"/>
        <item x="56"/>
        <item x="354"/>
        <item x="772"/>
        <item x="813"/>
        <item x="152"/>
        <item x="124"/>
        <item x="442"/>
        <item x="74"/>
        <item x="61"/>
        <item x="838"/>
        <item x="667"/>
        <item x="139"/>
        <item x="225"/>
        <item x="606"/>
        <item x="179"/>
        <item x="191"/>
        <item x="12"/>
        <item x="345"/>
        <item x="683"/>
        <item x="304"/>
        <item x="591"/>
        <item x="691"/>
        <item x="170"/>
        <item x="733"/>
        <item x="635"/>
        <item x="548"/>
        <item x="4"/>
        <item x="168"/>
        <item x="471"/>
        <item x="67"/>
        <item x="57"/>
        <item x="178"/>
        <item x="678"/>
        <item x="650"/>
        <item x="90"/>
        <item x="405"/>
        <item x="146"/>
        <item x="181"/>
        <item x="240"/>
        <item x="362"/>
        <item x="0"/>
        <item x="118"/>
        <item x="104"/>
        <item x="760"/>
        <item x="504"/>
        <item x="601"/>
        <item x="31"/>
        <item x="143"/>
        <item x="752"/>
        <item x="399"/>
        <item x="3"/>
        <item x="735"/>
        <item x="426"/>
        <item x="198"/>
        <item x="648"/>
        <item x="150"/>
        <item x="828"/>
        <item x="597"/>
        <item x="592"/>
        <item x="98"/>
        <item x="766"/>
        <item x="336"/>
        <item x="608"/>
        <item x="588"/>
        <item x="630"/>
        <item x="485"/>
        <item x="299"/>
        <item x="363"/>
        <item x="428"/>
        <item x="693"/>
        <item x="377"/>
        <item x="309"/>
        <item x="651"/>
        <item x="322"/>
        <item x="556"/>
        <item x="645"/>
        <item x="83"/>
        <item x="185"/>
        <item x="214"/>
        <item x="482"/>
        <item x="641"/>
        <item x="295"/>
        <item x="810"/>
        <item x="371"/>
        <item x="340"/>
        <item x="578"/>
        <item x="551"/>
        <item x="359"/>
        <item x="695"/>
        <item x="709"/>
        <item x="63"/>
        <item x="307"/>
        <item x="722"/>
        <item x="446"/>
        <item x="8"/>
        <item x="736"/>
        <item x="365"/>
        <item x="36"/>
        <item x="259"/>
        <item x="491"/>
        <item x="436"/>
        <item x="290"/>
        <item x="864"/>
        <item x="842"/>
        <item x="773"/>
        <item x="127"/>
        <item x="847"/>
        <item x="231"/>
        <item x="567"/>
        <item x="737"/>
        <item x="713"/>
        <item x="71"/>
        <item x="715"/>
        <item x="136"/>
        <item x="162"/>
        <item x="400"/>
        <item x="739"/>
        <item x="731"/>
        <item x="841"/>
        <item x="392"/>
        <item x="786"/>
        <item x="187"/>
        <item x="315"/>
        <item x="589"/>
        <item x="646"/>
        <item x="410"/>
        <item x="255"/>
        <item x="503"/>
        <item x="472"/>
        <item x="686"/>
        <item x="210"/>
        <item x="196"/>
        <item x="673"/>
        <item x="126"/>
        <item x="248"/>
        <item x="867"/>
        <item x="166"/>
        <item x="547"/>
        <item x="484"/>
        <item x="357"/>
        <item x="374"/>
        <item x="249"/>
        <item x="612"/>
        <item x="195"/>
        <item x="132"/>
        <item x="450"/>
        <item x="594"/>
        <item x="5"/>
        <item x="113"/>
        <item x="321"/>
        <item x="200"/>
        <item x="97"/>
        <item x="822"/>
        <item x="818"/>
        <item x="85"/>
        <item x="38"/>
        <item x="32"/>
        <item x="41"/>
        <item x="355"/>
        <item x="353"/>
        <item x="698"/>
        <item x="53"/>
        <item x="513"/>
        <item x="797"/>
        <item x="247"/>
        <item x="652"/>
        <item x="495"/>
        <item x="677"/>
        <item x="445"/>
        <item x="323"/>
        <item x="125"/>
        <item x="859"/>
        <item x="830"/>
        <item x="759"/>
        <item x="523"/>
        <item x="338"/>
        <item x="457"/>
        <item x="398"/>
        <item x="95"/>
        <item x="514"/>
        <item x="415"/>
        <item x="615"/>
        <item x="174"/>
        <item x="610"/>
        <item x="832"/>
        <item x="93"/>
        <item x="177"/>
        <item x="609"/>
        <item x="629"/>
        <item x="787"/>
        <item x="335"/>
        <item x="312"/>
        <item x="14"/>
        <item x="540"/>
        <item x="866"/>
        <item x="700"/>
        <item x="596"/>
        <item x="803"/>
        <item x="2"/>
        <item x="811"/>
        <item x="407"/>
        <item x="369"/>
        <item x="385"/>
        <item x="333"/>
        <item x="217"/>
        <item x="316"/>
        <item x="507"/>
        <item x="740"/>
        <item x="257"/>
        <item x="157"/>
        <item x="770"/>
        <item x="748"/>
        <item x="244"/>
        <item x="476"/>
        <item x="569"/>
        <item x="394"/>
        <item x="845"/>
        <item x="860"/>
        <item x="788"/>
        <item x="209"/>
        <item x="144"/>
        <item x="757"/>
        <item x="274"/>
        <item x="869"/>
        <item x="515"/>
        <item x="723"/>
        <item x="562"/>
        <item x="437"/>
        <item x="734"/>
        <item x="9"/>
        <item x="262"/>
        <item x="534"/>
        <item x="560"/>
        <item x="539"/>
        <item x="468"/>
        <item x="404"/>
        <item x="692"/>
        <item x="92"/>
        <item x="192"/>
        <item x="226"/>
        <item x="718"/>
        <item x="865"/>
        <item x="826"/>
        <item x="831"/>
        <item x="43"/>
        <item x="269"/>
        <item x="213"/>
        <item x="241"/>
        <item x="26"/>
        <item x="776"/>
        <item x="358"/>
        <item x="184"/>
        <item x="808"/>
        <item x="655"/>
        <item x="243"/>
        <item x="128"/>
        <item x="553"/>
        <item x="7"/>
        <item x="205"/>
        <item x="561"/>
        <item x="525"/>
        <item x="119"/>
        <item x="96"/>
        <item x="572"/>
        <item x="282"/>
        <item x="439"/>
        <item x="273"/>
        <item x="780"/>
        <item x="545"/>
        <item x="164"/>
        <item x="148"/>
        <item x="314"/>
        <item x="20"/>
        <item x="151"/>
        <item x="188"/>
        <item x="364"/>
        <item x="621"/>
        <item x="656"/>
        <item x="726"/>
        <item x="344"/>
        <item x="29"/>
        <item x="705"/>
        <item x="634"/>
        <item x="432"/>
        <item x="49"/>
        <item x="403"/>
        <item x="55"/>
        <item x="414"/>
        <item x="35"/>
        <item x="697"/>
        <item x="554"/>
        <item x="754"/>
        <item x="234"/>
        <item x="349"/>
        <item x="489"/>
        <item x="302"/>
        <item x="378"/>
        <item x="320"/>
        <item x="850"/>
        <item x="440"/>
        <item x="163"/>
        <item x="702"/>
        <item x="106"/>
        <item x="743"/>
        <item x="738"/>
        <item x="633"/>
        <item x="823"/>
        <item x="855"/>
        <item x="447"/>
        <item x="301"/>
        <item x="220"/>
        <item x="509"/>
        <item x="420"/>
        <item x="68"/>
        <item x="643"/>
        <item x="111"/>
        <item x="297"/>
        <item x="475"/>
        <item x="101"/>
        <item x="674"/>
        <item x="694"/>
        <item x="212"/>
        <item x="530"/>
        <item x="137"/>
        <item x="66"/>
        <item x="497"/>
        <item x="518"/>
        <item x="376"/>
        <item x="81"/>
        <item x="807"/>
        <item x="814"/>
        <item x="430"/>
        <item x="765"/>
        <item x="347"/>
        <item x="762"/>
        <item x="685"/>
        <item x="616"/>
        <item x="473"/>
        <item x="647"/>
        <item x="230"/>
        <item x="532"/>
        <item x="782"/>
        <item x="116"/>
        <item x="664"/>
        <item x="688"/>
        <item x="781"/>
        <item x="817"/>
        <item x="483"/>
        <item x="78"/>
        <item x="443"/>
        <item x="745"/>
        <item x="642"/>
        <item x="535"/>
        <item x="627"/>
        <item x="86"/>
        <item x="289"/>
        <item x="18"/>
        <item x="206"/>
        <item x="207"/>
        <item x="626"/>
        <item x="512"/>
        <item x="305"/>
        <item x="140"/>
        <item x="121"/>
        <item x="64"/>
        <item x="730"/>
        <item x="252"/>
        <item x="487"/>
        <item x="806"/>
        <item x="319"/>
        <item x="260"/>
        <item x="528"/>
        <item x="142"/>
        <item x="816"/>
        <item x="329"/>
        <item x="91"/>
        <item x="746"/>
        <item x="741"/>
        <item x="761"/>
        <item x="618"/>
        <item x="189"/>
        <item x="800"/>
        <item x="668"/>
        <item x="287"/>
        <item x="149"/>
        <item x="245"/>
        <item x="331"/>
        <item x="854"/>
        <item x="105"/>
        <item x="657"/>
        <item x="793"/>
        <item x="451"/>
        <item x="566"/>
        <item x="638"/>
        <item x="676"/>
        <item x="750"/>
        <item x="190"/>
        <item x="583"/>
        <item x="58"/>
        <item x="15"/>
        <item x="783"/>
        <item x="599"/>
        <item x="294"/>
        <item x="598"/>
        <item x="153"/>
        <item x="334"/>
        <item x="620"/>
        <item x="108"/>
        <item x="720"/>
        <item x="202"/>
        <item x="672"/>
        <item x="623"/>
        <item x="768"/>
        <item x="543"/>
        <item x="361"/>
        <item x="584"/>
        <item x="275"/>
        <item x="156"/>
        <item x="326"/>
        <item x="775"/>
        <item x="675"/>
        <item x="586"/>
        <item x="54"/>
        <item x="614"/>
        <item x="109"/>
        <item x="438"/>
        <item x="804"/>
        <item x="728"/>
        <item x="449"/>
        <item x="536"/>
        <item x="154"/>
        <item x="228"/>
        <item x="88"/>
        <item x="28"/>
        <item x="500"/>
        <item x="388"/>
        <item x="789"/>
        <item x="327"/>
        <item x="870"/>
        <item x="175"/>
        <item x="508"/>
        <item x="607"/>
        <item x="852"/>
        <item x="311"/>
        <item x="24"/>
        <item x="809"/>
        <item x="712"/>
        <item x="461"/>
        <item x="236"/>
        <item x="383"/>
        <item x="380"/>
        <item x="135"/>
        <item x="308"/>
        <item x="276"/>
        <item x="458"/>
        <item x="696"/>
        <item x="278"/>
        <item x="690"/>
        <item x="402"/>
        <item x="479"/>
        <item x="117"/>
        <item x="99"/>
        <item x="40"/>
        <item x="435"/>
        <item x="576"/>
        <item x="429"/>
        <item x="764"/>
        <item x="812"/>
        <item x="844"/>
        <item x="658"/>
        <item x="159"/>
        <item x="94"/>
        <item x="48"/>
        <item x="193"/>
        <item x="570"/>
        <item x="568"/>
        <item x="613"/>
        <item x="89"/>
        <item x="431"/>
        <item x="585"/>
        <item x="288"/>
        <item x="466"/>
        <item x="681"/>
        <item x="284"/>
        <item x="474"/>
        <item x="115"/>
        <item x="529"/>
        <item x="464"/>
        <item x="769"/>
        <item x="328"/>
        <item x="815"/>
        <item x="75"/>
        <item x="33"/>
        <item x="37"/>
        <item x="587"/>
        <item x="670"/>
        <item x="549"/>
        <item x="348"/>
        <item x="580"/>
        <item x="199"/>
        <item x="699"/>
        <item x="266"/>
        <item x="444"/>
        <item x="501"/>
        <item x="574"/>
        <item x="50"/>
        <item x="459"/>
        <item x="467"/>
        <item x="541"/>
        <item x="167"/>
        <item x="272"/>
        <item x="134"/>
        <item x="488"/>
        <item x="397"/>
        <item x="666"/>
        <item x="375"/>
        <item x="215"/>
        <item x="857"/>
        <item x="711"/>
        <item x="76"/>
        <item x="204"/>
        <item x="133"/>
        <item x="732"/>
        <item x="416"/>
        <item x="478"/>
        <item x="462"/>
        <item x="628"/>
        <item x="409"/>
        <item x="820"/>
        <item x="861"/>
        <item x="725"/>
        <item x="337"/>
        <item x="516"/>
        <item x="662"/>
        <item x="455"/>
        <item x="368"/>
        <item x="833"/>
        <item x="120"/>
        <item x="158"/>
        <item x="517"/>
        <item x="356"/>
        <item x="6"/>
        <item x="341"/>
        <item x="579"/>
        <item x="197"/>
        <item x="366"/>
        <item x="717"/>
        <item x="602"/>
        <item x="352"/>
        <item x="848"/>
        <item x="103"/>
        <item x="218"/>
        <item x="393"/>
        <item x="689"/>
        <item x="419"/>
        <item x="10"/>
        <item x="661"/>
        <item x="45"/>
        <item x="17"/>
        <item x="52"/>
        <item x="453"/>
        <item x="271"/>
        <item x="617"/>
        <item x="751"/>
        <item x="774"/>
        <item x="708"/>
        <item x="771"/>
        <item x="130"/>
        <item x="858"/>
        <item x="216"/>
        <item x="227"/>
        <item x="819"/>
        <item x="559"/>
        <item x="701"/>
        <item x="496"/>
        <item x="342"/>
        <item x="183"/>
        <item x="640"/>
        <item x="30"/>
        <item x="798"/>
        <item x="112"/>
        <item x="421"/>
        <item x="441"/>
        <item x="279"/>
        <item x="494"/>
        <item x="862"/>
        <item x="141"/>
        <item x="663"/>
        <item x="313"/>
        <item x="107"/>
        <item x="481"/>
        <item x="201"/>
        <item x="456"/>
        <item x="235"/>
        <item x="707"/>
        <item x="246"/>
        <item x="660"/>
        <item x="51"/>
        <item x="123"/>
        <item x="463"/>
        <item x="155"/>
        <item x="87"/>
        <item x="573"/>
        <item x="490"/>
        <item x="122"/>
        <item x="219"/>
        <item x="749"/>
        <item x="742"/>
        <item x="25"/>
        <item x="827"/>
        <item x="408"/>
        <item x="318"/>
        <item x="537"/>
        <item x="595"/>
        <item x="714"/>
        <item x="795"/>
        <item x="34"/>
        <item x="590"/>
        <item x="727"/>
        <item x="233"/>
        <item x="256"/>
        <item x="493"/>
        <item x="791"/>
        <item x="669"/>
        <item x="238"/>
        <item x="306"/>
        <item x="492"/>
        <item x="499"/>
        <item x="242"/>
        <item x="285"/>
        <item x="527"/>
        <item x="253"/>
        <item x="542"/>
        <item x="339"/>
        <item x="343"/>
        <item x="851"/>
        <item x="324"/>
        <item x="632"/>
        <item x="729"/>
        <item x="60"/>
        <item x="286"/>
        <item x="389"/>
        <item x="843"/>
        <item x="42"/>
        <item x="519"/>
        <item x="417"/>
        <item x="44"/>
        <item x="411"/>
        <item x="434"/>
        <item x="477"/>
        <item x="69"/>
        <item x="777"/>
        <item x="636"/>
        <item x="423"/>
        <item x="653"/>
        <item x="744"/>
        <item x="510"/>
        <item x="801"/>
        <item x="792"/>
        <item x="853"/>
        <item x="277"/>
        <item x="687"/>
        <item x="145"/>
        <item x="283"/>
        <item x="390"/>
        <item x="522"/>
        <item x="232"/>
        <item x="506"/>
        <item x="840"/>
        <item x="521"/>
        <item x="13"/>
        <item x="665"/>
        <item x="396"/>
        <item x="622"/>
        <item x="659"/>
        <item x="102"/>
        <item x="824"/>
        <item x="194"/>
        <item x="281"/>
        <item x="704"/>
        <item x="413"/>
        <item x="222"/>
        <item x="550"/>
        <item x="511"/>
        <item x="372"/>
        <item x="498"/>
        <item x="182"/>
        <item x="186"/>
        <item x="384"/>
        <item x="794"/>
        <item x="317"/>
        <item x="724"/>
        <item x="433"/>
        <item x="582"/>
        <item x="631"/>
        <item x="270"/>
        <item x="802"/>
        <item x="129"/>
        <item x="65"/>
        <item x="758"/>
        <item x="480"/>
        <item x="23"/>
        <item x="72"/>
        <item x="790"/>
        <item x="367"/>
        <item x="387"/>
        <item x="171"/>
        <item x="538"/>
        <item x="805"/>
        <item x="424"/>
        <item x="785"/>
        <item x="706"/>
        <item x="1"/>
        <item x="526"/>
        <item x="19"/>
        <item x="611"/>
        <item x="401"/>
        <item x="169"/>
        <item x="47"/>
        <item x="454"/>
        <item x="62"/>
        <item x="180"/>
        <item x="208"/>
        <item x="391"/>
        <item x="524"/>
        <item x="73"/>
        <item x="292"/>
        <item x="834"/>
        <item x="710"/>
        <item x="114"/>
        <item x="486"/>
        <item x="160"/>
        <item x="747"/>
        <item x="280"/>
        <item x="846"/>
        <item x="268"/>
        <item x="261"/>
        <item x="386"/>
        <item x="520"/>
        <item x="298"/>
        <item x="755"/>
        <item x="753"/>
        <item x="300"/>
        <item x="619"/>
        <item x="784"/>
        <item x="176"/>
        <item x="557"/>
        <item x="21"/>
        <item x="100"/>
        <item x="110"/>
        <item x="265"/>
        <item x="821"/>
        <item x="27"/>
        <item x="80"/>
        <item x="721"/>
        <item x="250"/>
        <item x="70"/>
        <item x="671"/>
        <item x="849"/>
        <item x="427"/>
        <item x="684"/>
        <item x="84"/>
        <item x="593"/>
        <item x="837"/>
        <item x="644"/>
        <item x="82"/>
        <item x="796"/>
        <item x="825"/>
        <item x="360"/>
        <item x="370"/>
        <item x="373"/>
        <item x="460"/>
        <item x="293"/>
        <item x="465"/>
        <item x="346"/>
        <item t="default"/>
      </items>
    </pivotField>
    <pivotField showAll="0"/>
    <pivotField showAll="0"/>
    <pivotField showAll="0"/>
    <pivotField showAll="0">
      <items count="3">
        <item x="1"/>
        <item x="0"/>
        <item t="default"/>
      </items>
    </pivotField>
    <pivotField showAll="0">
      <items count="7">
        <item x="2"/>
        <item x="0"/>
        <item x="1"/>
        <item x="5"/>
        <item x="3"/>
        <item x="4"/>
        <item t="default"/>
      </items>
    </pivotField>
    <pivotField showAll="0"/>
    <pivotField showAll="0"/>
    <pivotField showAll="0"/>
    <pivotField axis="axisRow" dataField="1"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2">
        <item sd="0" x="0"/>
        <item sd="0" x="1"/>
        <item sd="0" x="2"/>
        <item sd="0" x="3"/>
        <item sd="0" x="4"/>
        <item sd="0" x="5"/>
        <item sd="0" x="6"/>
        <item sd="0" x="7"/>
        <item sd="0" x="8"/>
        <item sd="0" x="9"/>
        <item sd="0" x="10"/>
        <item t="default"/>
      </items>
    </pivotField>
  </pivotFields>
  <rowFields count="1">
    <field x="15"/>
  </rowFields>
  <rowItems count="3">
    <i>
      <x/>
    </i>
    <i>
      <x v="1"/>
    </i>
    <i t="grand">
      <x/>
    </i>
  </rowItems>
  <colItems count="1">
    <i/>
  </colItems>
  <dataFields count="1">
    <dataField name="Percentage Of Ownership" fld="15" subtotal="count"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5" count="1" selected="0">
            <x v="0"/>
          </reference>
        </references>
      </pivotArea>
    </chartFormat>
    <chartFormat chart="3" format="8">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38C0BD-C623-4AC3-9F82-FBF3619BE07A}" name="Avg_User_Ratings_By_Decades" cacheId="0"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Decades">
  <location ref="AA13:AB18" firstHeaderRow="1" firstDataRow="1" firstDataCol="1"/>
  <pivotFields count="19">
    <pivotField showAll="0"/>
    <pivotField showAll="0">
      <items count="3">
        <item x="1"/>
        <item x="0"/>
        <item t="default"/>
      </items>
    </pivotField>
    <pivotField showAll="0"/>
    <pivotField showAll="0"/>
    <pivotField showAll="0"/>
    <pivotField showAll="0">
      <items count="9">
        <item x="2"/>
        <item x="5"/>
        <item x="4"/>
        <item x="6"/>
        <item x="0"/>
        <item x="1"/>
        <item x="3"/>
        <item x="7"/>
        <item t="default"/>
      </items>
    </pivotField>
    <pivotField numFmtId="14" showAll="0">
      <items count="872">
        <item x="165"/>
        <item x="703"/>
        <item x="531"/>
        <item x="79"/>
        <item x="224"/>
        <item x="604"/>
        <item x="779"/>
        <item x="756"/>
        <item x="682"/>
        <item x="716"/>
        <item x="46"/>
        <item x="172"/>
        <item x="558"/>
        <item x="203"/>
        <item x="39"/>
        <item x="296"/>
        <item x="555"/>
        <item x="763"/>
        <item x="649"/>
        <item x="263"/>
        <item x="303"/>
        <item x="330"/>
        <item x="16"/>
        <item x="605"/>
        <item x="654"/>
        <item x="581"/>
        <item x="639"/>
        <item x="422"/>
        <item x="835"/>
        <item x="799"/>
        <item x="469"/>
        <item x="868"/>
        <item x="680"/>
        <item x="533"/>
        <item x="452"/>
        <item x="839"/>
        <item x="418"/>
        <item x="138"/>
        <item x="600"/>
        <item x="778"/>
        <item x="856"/>
        <item x="603"/>
        <item x="565"/>
        <item x="147"/>
        <item x="546"/>
        <item x="239"/>
        <item x="625"/>
        <item x="577"/>
        <item x="382"/>
        <item x="22"/>
        <item x="264"/>
        <item x="502"/>
        <item x="258"/>
        <item x="351"/>
        <item x="237"/>
        <item x="425"/>
        <item x="563"/>
        <item x="412"/>
        <item x="211"/>
        <item x="11"/>
        <item x="223"/>
        <item x="829"/>
        <item x="254"/>
        <item x="863"/>
        <item x="229"/>
        <item x="448"/>
        <item x="173"/>
        <item x="379"/>
        <item x="325"/>
        <item x="267"/>
        <item x="544"/>
        <item x="131"/>
        <item x="310"/>
        <item x="332"/>
        <item x="564"/>
        <item x="291"/>
        <item x="637"/>
        <item x="575"/>
        <item x="571"/>
        <item x="836"/>
        <item x="221"/>
        <item x="552"/>
        <item x="350"/>
        <item x="505"/>
        <item x="470"/>
        <item x="395"/>
        <item x="719"/>
        <item x="59"/>
        <item x="767"/>
        <item x="161"/>
        <item x="624"/>
        <item x="381"/>
        <item x="251"/>
        <item x="679"/>
        <item x="406"/>
        <item x="77"/>
        <item x="56"/>
        <item x="354"/>
        <item x="772"/>
        <item x="813"/>
        <item x="152"/>
        <item x="124"/>
        <item x="442"/>
        <item x="74"/>
        <item x="61"/>
        <item x="838"/>
        <item x="667"/>
        <item x="139"/>
        <item x="225"/>
        <item x="606"/>
        <item x="179"/>
        <item x="191"/>
        <item x="12"/>
        <item x="345"/>
        <item x="683"/>
        <item x="304"/>
        <item x="591"/>
        <item x="691"/>
        <item x="170"/>
        <item x="733"/>
        <item x="635"/>
        <item x="548"/>
        <item x="4"/>
        <item x="168"/>
        <item x="471"/>
        <item x="67"/>
        <item x="57"/>
        <item x="178"/>
        <item x="678"/>
        <item x="650"/>
        <item x="90"/>
        <item x="405"/>
        <item x="146"/>
        <item x="181"/>
        <item x="240"/>
        <item x="362"/>
        <item x="0"/>
        <item x="118"/>
        <item x="104"/>
        <item x="760"/>
        <item x="504"/>
        <item x="601"/>
        <item x="31"/>
        <item x="143"/>
        <item x="752"/>
        <item x="399"/>
        <item x="3"/>
        <item x="735"/>
        <item x="426"/>
        <item x="198"/>
        <item x="648"/>
        <item x="150"/>
        <item x="828"/>
        <item x="597"/>
        <item x="592"/>
        <item x="98"/>
        <item x="766"/>
        <item x="336"/>
        <item x="608"/>
        <item x="588"/>
        <item x="630"/>
        <item x="485"/>
        <item x="299"/>
        <item x="363"/>
        <item x="428"/>
        <item x="693"/>
        <item x="377"/>
        <item x="309"/>
        <item x="651"/>
        <item x="322"/>
        <item x="556"/>
        <item x="645"/>
        <item x="83"/>
        <item x="185"/>
        <item x="214"/>
        <item x="482"/>
        <item x="641"/>
        <item x="295"/>
        <item x="810"/>
        <item x="371"/>
        <item x="340"/>
        <item x="578"/>
        <item x="551"/>
        <item x="359"/>
        <item x="695"/>
        <item x="709"/>
        <item x="63"/>
        <item x="307"/>
        <item x="722"/>
        <item x="446"/>
        <item x="8"/>
        <item x="736"/>
        <item x="365"/>
        <item x="36"/>
        <item x="259"/>
        <item x="491"/>
        <item x="436"/>
        <item x="290"/>
        <item x="864"/>
        <item x="842"/>
        <item x="773"/>
        <item x="127"/>
        <item x="847"/>
        <item x="231"/>
        <item x="567"/>
        <item x="737"/>
        <item x="713"/>
        <item x="71"/>
        <item x="715"/>
        <item x="136"/>
        <item x="162"/>
        <item x="400"/>
        <item x="739"/>
        <item x="731"/>
        <item x="841"/>
        <item x="392"/>
        <item x="786"/>
        <item x="187"/>
        <item x="315"/>
        <item x="589"/>
        <item x="646"/>
        <item x="410"/>
        <item x="255"/>
        <item x="503"/>
        <item x="472"/>
        <item x="686"/>
        <item x="210"/>
        <item x="196"/>
        <item x="673"/>
        <item x="126"/>
        <item x="248"/>
        <item x="867"/>
        <item x="166"/>
        <item x="547"/>
        <item x="484"/>
        <item x="357"/>
        <item x="374"/>
        <item x="249"/>
        <item x="612"/>
        <item x="195"/>
        <item x="132"/>
        <item x="450"/>
        <item x="594"/>
        <item x="5"/>
        <item x="113"/>
        <item x="321"/>
        <item x="200"/>
        <item x="97"/>
        <item x="822"/>
        <item x="818"/>
        <item x="85"/>
        <item x="38"/>
        <item x="32"/>
        <item x="41"/>
        <item x="355"/>
        <item x="353"/>
        <item x="698"/>
        <item x="53"/>
        <item x="513"/>
        <item x="797"/>
        <item x="247"/>
        <item x="652"/>
        <item x="495"/>
        <item x="677"/>
        <item x="445"/>
        <item x="323"/>
        <item x="125"/>
        <item x="859"/>
        <item x="830"/>
        <item x="759"/>
        <item x="523"/>
        <item x="338"/>
        <item x="457"/>
        <item x="398"/>
        <item x="95"/>
        <item x="514"/>
        <item x="415"/>
        <item x="615"/>
        <item x="174"/>
        <item x="610"/>
        <item x="832"/>
        <item x="93"/>
        <item x="177"/>
        <item x="609"/>
        <item x="629"/>
        <item x="787"/>
        <item x="335"/>
        <item x="312"/>
        <item x="14"/>
        <item x="540"/>
        <item x="866"/>
        <item x="700"/>
        <item x="596"/>
        <item x="803"/>
        <item x="2"/>
        <item x="811"/>
        <item x="407"/>
        <item x="369"/>
        <item x="385"/>
        <item x="333"/>
        <item x="217"/>
        <item x="316"/>
        <item x="507"/>
        <item x="740"/>
        <item x="257"/>
        <item x="157"/>
        <item x="770"/>
        <item x="748"/>
        <item x="244"/>
        <item x="476"/>
        <item x="569"/>
        <item x="394"/>
        <item x="845"/>
        <item x="860"/>
        <item x="788"/>
        <item x="209"/>
        <item x="144"/>
        <item x="757"/>
        <item x="274"/>
        <item x="869"/>
        <item x="515"/>
        <item x="723"/>
        <item x="562"/>
        <item x="437"/>
        <item x="734"/>
        <item x="9"/>
        <item x="262"/>
        <item x="534"/>
        <item x="560"/>
        <item x="539"/>
        <item x="468"/>
        <item x="404"/>
        <item x="692"/>
        <item x="92"/>
        <item x="192"/>
        <item x="226"/>
        <item x="718"/>
        <item x="865"/>
        <item x="826"/>
        <item x="831"/>
        <item x="43"/>
        <item x="269"/>
        <item x="213"/>
        <item x="241"/>
        <item x="26"/>
        <item x="776"/>
        <item x="358"/>
        <item x="184"/>
        <item x="808"/>
        <item x="655"/>
        <item x="243"/>
        <item x="128"/>
        <item x="553"/>
        <item x="7"/>
        <item x="205"/>
        <item x="561"/>
        <item x="525"/>
        <item x="119"/>
        <item x="96"/>
        <item x="572"/>
        <item x="282"/>
        <item x="439"/>
        <item x="273"/>
        <item x="780"/>
        <item x="545"/>
        <item x="164"/>
        <item x="148"/>
        <item x="314"/>
        <item x="20"/>
        <item x="151"/>
        <item x="188"/>
        <item x="364"/>
        <item x="621"/>
        <item x="656"/>
        <item x="726"/>
        <item x="344"/>
        <item x="29"/>
        <item x="705"/>
        <item x="634"/>
        <item x="432"/>
        <item x="49"/>
        <item x="403"/>
        <item x="55"/>
        <item x="414"/>
        <item x="35"/>
        <item x="697"/>
        <item x="554"/>
        <item x="754"/>
        <item x="234"/>
        <item x="349"/>
        <item x="489"/>
        <item x="302"/>
        <item x="378"/>
        <item x="320"/>
        <item x="850"/>
        <item x="440"/>
        <item x="163"/>
        <item x="702"/>
        <item x="106"/>
        <item x="743"/>
        <item x="738"/>
        <item x="633"/>
        <item x="823"/>
        <item x="855"/>
        <item x="447"/>
        <item x="301"/>
        <item x="220"/>
        <item x="509"/>
        <item x="420"/>
        <item x="68"/>
        <item x="643"/>
        <item x="111"/>
        <item x="297"/>
        <item x="475"/>
        <item x="101"/>
        <item x="674"/>
        <item x="694"/>
        <item x="212"/>
        <item x="530"/>
        <item x="137"/>
        <item x="66"/>
        <item x="497"/>
        <item x="518"/>
        <item x="376"/>
        <item x="81"/>
        <item x="807"/>
        <item x="814"/>
        <item x="430"/>
        <item x="765"/>
        <item x="347"/>
        <item x="762"/>
        <item x="685"/>
        <item x="616"/>
        <item x="473"/>
        <item x="647"/>
        <item x="230"/>
        <item x="532"/>
        <item x="782"/>
        <item x="116"/>
        <item x="664"/>
        <item x="688"/>
        <item x="781"/>
        <item x="817"/>
        <item x="483"/>
        <item x="78"/>
        <item x="443"/>
        <item x="745"/>
        <item x="642"/>
        <item x="535"/>
        <item x="627"/>
        <item x="86"/>
        <item x="289"/>
        <item x="18"/>
        <item x="206"/>
        <item x="207"/>
        <item x="626"/>
        <item x="512"/>
        <item x="305"/>
        <item x="140"/>
        <item x="121"/>
        <item x="64"/>
        <item x="730"/>
        <item x="252"/>
        <item x="487"/>
        <item x="806"/>
        <item x="319"/>
        <item x="260"/>
        <item x="528"/>
        <item x="142"/>
        <item x="816"/>
        <item x="329"/>
        <item x="91"/>
        <item x="746"/>
        <item x="741"/>
        <item x="761"/>
        <item x="618"/>
        <item x="189"/>
        <item x="800"/>
        <item x="668"/>
        <item x="287"/>
        <item x="149"/>
        <item x="245"/>
        <item x="331"/>
        <item x="854"/>
        <item x="105"/>
        <item x="657"/>
        <item x="793"/>
        <item x="451"/>
        <item x="566"/>
        <item x="638"/>
        <item x="676"/>
        <item x="750"/>
        <item x="190"/>
        <item x="583"/>
        <item x="58"/>
        <item x="15"/>
        <item x="783"/>
        <item x="599"/>
        <item x="294"/>
        <item x="598"/>
        <item x="153"/>
        <item x="334"/>
        <item x="620"/>
        <item x="108"/>
        <item x="720"/>
        <item x="202"/>
        <item x="672"/>
        <item x="623"/>
        <item x="768"/>
        <item x="543"/>
        <item x="361"/>
        <item x="584"/>
        <item x="275"/>
        <item x="156"/>
        <item x="326"/>
        <item x="775"/>
        <item x="675"/>
        <item x="586"/>
        <item x="54"/>
        <item x="614"/>
        <item x="109"/>
        <item x="438"/>
        <item x="804"/>
        <item x="728"/>
        <item x="449"/>
        <item x="536"/>
        <item x="154"/>
        <item x="228"/>
        <item x="88"/>
        <item x="28"/>
        <item x="500"/>
        <item x="388"/>
        <item x="789"/>
        <item x="327"/>
        <item x="870"/>
        <item x="175"/>
        <item x="508"/>
        <item x="607"/>
        <item x="852"/>
        <item x="311"/>
        <item x="24"/>
        <item x="809"/>
        <item x="712"/>
        <item x="461"/>
        <item x="236"/>
        <item x="383"/>
        <item x="380"/>
        <item x="135"/>
        <item x="308"/>
        <item x="276"/>
        <item x="458"/>
        <item x="696"/>
        <item x="278"/>
        <item x="690"/>
        <item x="402"/>
        <item x="479"/>
        <item x="117"/>
        <item x="99"/>
        <item x="40"/>
        <item x="435"/>
        <item x="576"/>
        <item x="429"/>
        <item x="764"/>
        <item x="812"/>
        <item x="844"/>
        <item x="658"/>
        <item x="159"/>
        <item x="94"/>
        <item x="48"/>
        <item x="193"/>
        <item x="570"/>
        <item x="568"/>
        <item x="613"/>
        <item x="89"/>
        <item x="431"/>
        <item x="585"/>
        <item x="288"/>
        <item x="466"/>
        <item x="681"/>
        <item x="284"/>
        <item x="474"/>
        <item x="115"/>
        <item x="529"/>
        <item x="464"/>
        <item x="769"/>
        <item x="328"/>
        <item x="815"/>
        <item x="75"/>
        <item x="33"/>
        <item x="37"/>
        <item x="587"/>
        <item x="670"/>
        <item x="549"/>
        <item x="348"/>
        <item x="580"/>
        <item x="199"/>
        <item x="699"/>
        <item x="266"/>
        <item x="444"/>
        <item x="501"/>
        <item x="574"/>
        <item x="50"/>
        <item x="459"/>
        <item x="467"/>
        <item x="541"/>
        <item x="167"/>
        <item x="272"/>
        <item x="134"/>
        <item x="488"/>
        <item x="397"/>
        <item x="666"/>
        <item x="375"/>
        <item x="215"/>
        <item x="857"/>
        <item x="711"/>
        <item x="76"/>
        <item x="204"/>
        <item x="133"/>
        <item x="732"/>
        <item x="416"/>
        <item x="478"/>
        <item x="462"/>
        <item x="628"/>
        <item x="409"/>
        <item x="820"/>
        <item x="861"/>
        <item x="725"/>
        <item x="337"/>
        <item x="516"/>
        <item x="662"/>
        <item x="455"/>
        <item x="368"/>
        <item x="833"/>
        <item x="120"/>
        <item x="158"/>
        <item x="517"/>
        <item x="356"/>
        <item x="6"/>
        <item x="341"/>
        <item x="579"/>
        <item x="197"/>
        <item x="366"/>
        <item x="717"/>
        <item x="602"/>
        <item x="352"/>
        <item x="848"/>
        <item x="103"/>
        <item x="218"/>
        <item x="393"/>
        <item x="689"/>
        <item x="419"/>
        <item x="10"/>
        <item x="661"/>
        <item x="45"/>
        <item x="17"/>
        <item x="52"/>
        <item x="453"/>
        <item x="271"/>
        <item x="617"/>
        <item x="751"/>
        <item x="774"/>
        <item x="708"/>
        <item x="771"/>
        <item x="130"/>
        <item x="858"/>
        <item x="216"/>
        <item x="227"/>
        <item x="819"/>
        <item x="559"/>
        <item x="701"/>
        <item x="496"/>
        <item x="342"/>
        <item x="183"/>
        <item x="640"/>
        <item x="30"/>
        <item x="798"/>
        <item x="112"/>
        <item x="421"/>
        <item x="441"/>
        <item x="279"/>
        <item x="494"/>
        <item x="862"/>
        <item x="141"/>
        <item x="663"/>
        <item x="313"/>
        <item x="107"/>
        <item x="481"/>
        <item x="201"/>
        <item x="456"/>
        <item x="235"/>
        <item x="707"/>
        <item x="246"/>
        <item x="660"/>
        <item x="51"/>
        <item x="123"/>
        <item x="463"/>
        <item x="155"/>
        <item x="87"/>
        <item x="573"/>
        <item x="490"/>
        <item x="122"/>
        <item x="219"/>
        <item x="749"/>
        <item x="742"/>
        <item x="25"/>
        <item x="827"/>
        <item x="408"/>
        <item x="318"/>
        <item x="537"/>
        <item x="595"/>
        <item x="714"/>
        <item x="795"/>
        <item x="34"/>
        <item x="590"/>
        <item x="727"/>
        <item x="233"/>
        <item x="256"/>
        <item x="493"/>
        <item x="791"/>
        <item x="669"/>
        <item x="238"/>
        <item x="306"/>
        <item x="492"/>
        <item x="499"/>
        <item x="242"/>
        <item x="285"/>
        <item x="527"/>
        <item x="253"/>
        <item x="542"/>
        <item x="339"/>
        <item x="343"/>
        <item x="851"/>
        <item x="324"/>
        <item x="632"/>
        <item x="729"/>
        <item x="60"/>
        <item x="286"/>
        <item x="389"/>
        <item x="843"/>
        <item x="42"/>
        <item x="519"/>
        <item x="417"/>
        <item x="44"/>
        <item x="411"/>
        <item x="434"/>
        <item x="477"/>
        <item x="69"/>
        <item x="777"/>
        <item x="636"/>
        <item x="423"/>
        <item x="653"/>
        <item x="744"/>
        <item x="510"/>
        <item x="801"/>
        <item x="792"/>
        <item x="853"/>
        <item x="277"/>
        <item x="687"/>
        <item x="145"/>
        <item x="283"/>
        <item x="390"/>
        <item x="522"/>
        <item x="232"/>
        <item x="506"/>
        <item x="840"/>
        <item x="521"/>
        <item x="13"/>
        <item x="665"/>
        <item x="396"/>
        <item x="622"/>
        <item x="659"/>
        <item x="102"/>
        <item x="824"/>
        <item x="194"/>
        <item x="281"/>
        <item x="704"/>
        <item x="413"/>
        <item x="222"/>
        <item x="550"/>
        <item x="511"/>
        <item x="372"/>
        <item x="498"/>
        <item x="182"/>
        <item x="186"/>
        <item x="384"/>
        <item x="794"/>
        <item x="317"/>
        <item x="724"/>
        <item x="433"/>
        <item x="582"/>
        <item x="631"/>
        <item x="270"/>
        <item x="802"/>
        <item x="129"/>
        <item x="65"/>
        <item x="758"/>
        <item x="480"/>
        <item x="23"/>
        <item x="72"/>
        <item x="790"/>
        <item x="367"/>
        <item x="387"/>
        <item x="171"/>
        <item x="538"/>
        <item x="805"/>
        <item x="424"/>
        <item x="785"/>
        <item x="706"/>
        <item x="1"/>
        <item x="526"/>
        <item x="19"/>
        <item x="611"/>
        <item x="401"/>
        <item x="169"/>
        <item x="47"/>
        <item x="454"/>
        <item x="62"/>
        <item x="180"/>
        <item x="208"/>
        <item x="391"/>
        <item x="524"/>
        <item x="73"/>
        <item x="292"/>
        <item x="834"/>
        <item x="710"/>
        <item x="114"/>
        <item x="486"/>
        <item x="160"/>
        <item x="747"/>
        <item x="280"/>
        <item x="846"/>
        <item x="268"/>
        <item x="261"/>
        <item x="386"/>
        <item x="520"/>
        <item x="298"/>
        <item x="755"/>
        <item x="753"/>
        <item x="300"/>
        <item x="619"/>
        <item x="784"/>
        <item x="176"/>
        <item x="557"/>
        <item x="21"/>
        <item x="100"/>
        <item x="110"/>
        <item x="265"/>
        <item x="821"/>
        <item x="27"/>
        <item x="80"/>
        <item x="721"/>
        <item x="250"/>
        <item x="70"/>
        <item x="671"/>
        <item x="849"/>
        <item x="427"/>
        <item x="684"/>
        <item x="84"/>
        <item x="593"/>
        <item x="837"/>
        <item x="644"/>
        <item x="82"/>
        <item x="796"/>
        <item x="825"/>
        <item x="360"/>
        <item x="370"/>
        <item x="373"/>
        <item x="460"/>
        <item x="293"/>
        <item x="465"/>
        <item x="346"/>
        <item t="default"/>
      </items>
    </pivotField>
    <pivotField axis="axisRow" showAll="0">
      <items count="7">
        <item x="0"/>
        <item x="1"/>
        <item x="2"/>
        <item x="3"/>
        <item x="4"/>
        <item x="5"/>
        <item t="default"/>
      </items>
    </pivotField>
    <pivotField showAll="0"/>
    <pivotField showAll="0"/>
    <pivotField showAll="0">
      <items count="3">
        <item x="1"/>
        <item x="0"/>
        <item t="default"/>
      </items>
    </pivotField>
    <pivotField showAll="0">
      <items count="7">
        <item x="2"/>
        <item x="0"/>
        <item x="1"/>
        <item x="5"/>
        <item x="3"/>
        <item x="4"/>
        <item t="default"/>
      </items>
    </pivotField>
    <pivotField dataField="1" showAll="0"/>
    <pivotField showAll="0"/>
    <pivotField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2">
        <item sd="0" x="0"/>
        <item sd="0" x="1"/>
        <item sd="0" x="2"/>
        <item sd="0" x="3"/>
        <item sd="0" x="4"/>
        <item sd="0" x="5"/>
        <item sd="0" x="6"/>
        <item sd="0" x="7"/>
        <item sd="0" x="8"/>
        <item sd="0" x="9"/>
        <item sd="0" x="10"/>
        <item t="default"/>
      </items>
    </pivotField>
  </pivotFields>
  <rowFields count="1">
    <field x="7"/>
  </rowFields>
  <rowItems count="5">
    <i>
      <x v="1"/>
    </i>
    <i>
      <x v="2"/>
    </i>
    <i>
      <x v="3"/>
    </i>
    <i>
      <x v="4"/>
    </i>
    <i t="grand">
      <x/>
    </i>
  </rowItems>
  <colItems count="1">
    <i/>
  </colItems>
  <dataFields count="1">
    <dataField name="Avg User Rating" fld="12" subtotal="count"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8DB052-B559-4D00-8520-EB0A20A49B1F}" name="Budget" cacheId="0"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Ratings">
  <location ref="D13:D14" firstHeaderRow="1" firstDataRow="1" firstDataCol="0"/>
  <pivotFields count="19">
    <pivotField showAll="0"/>
    <pivotField showAll="0">
      <items count="3">
        <item x="1"/>
        <item x="0"/>
        <item t="default"/>
      </items>
    </pivotField>
    <pivotField showAll="0"/>
    <pivotField showAll="0"/>
    <pivotField showAll="0"/>
    <pivotField showAll="0">
      <items count="9">
        <item x="2"/>
        <item x="5"/>
        <item x="4"/>
        <item x="6"/>
        <item x="0"/>
        <item x="1"/>
        <item x="3"/>
        <item x="7"/>
        <item t="default"/>
      </items>
    </pivotField>
    <pivotField numFmtId="14" showAll="0">
      <items count="872">
        <item x="165"/>
        <item x="703"/>
        <item x="531"/>
        <item x="79"/>
        <item x="224"/>
        <item x="604"/>
        <item x="779"/>
        <item x="756"/>
        <item x="682"/>
        <item x="716"/>
        <item x="46"/>
        <item x="172"/>
        <item x="558"/>
        <item x="203"/>
        <item x="39"/>
        <item x="296"/>
        <item x="555"/>
        <item x="763"/>
        <item x="649"/>
        <item x="263"/>
        <item x="303"/>
        <item x="330"/>
        <item x="16"/>
        <item x="605"/>
        <item x="654"/>
        <item x="581"/>
        <item x="639"/>
        <item x="422"/>
        <item x="835"/>
        <item x="799"/>
        <item x="469"/>
        <item x="868"/>
        <item x="680"/>
        <item x="533"/>
        <item x="452"/>
        <item x="839"/>
        <item x="418"/>
        <item x="138"/>
        <item x="600"/>
        <item x="778"/>
        <item x="856"/>
        <item x="603"/>
        <item x="565"/>
        <item x="147"/>
        <item x="546"/>
        <item x="239"/>
        <item x="625"/>
        <item x="577"/>
        <item x="382"/>
        <item x="22"/>
        <item x="264"/>
        <item x="502"/>
        <item x="258"/>
        <item x="351"/>
        <item x="237"/>
        <item x="425"/>
        <item x="563"/>
        <item x="412"/>
        <item x="211"/>
        <item x="11"/>
        <item x="223"/>
        <item x="829"/>
        <item x="254"/>
        <item x="863"/>
        <item x="229"/>
        <item x="448"/>
        <item x="173"/>
        <item x="379"/>
        <item x="325"/>
        <item x="267"/>
        <item x="544"/>
        <item x="131"/>
        <item x="310"/>
        <item x="332"/>
        <item x="564"/>
        <item x="291"/>
        <item x="637"/>
        <item x="575"/>
        <item x="571"/>
        <item x="836"/>
        <item x="221"/>
        <item x="552"/>
        <item x="350"/>
        <item x="505"/>
        <item x="470"/>
        <item x="395"/>
        <item x="719"/>
        <item x="59"/>
        <item x="767"/>
        <item x="161"/>
        <item x="624"/>
        <item x="381"/>
        <item x="251"/>
        <item x="679"/>
        <item x="406"/>
        <item x="77"/>
        <item x="56"/>
        <item x="354"/>
        <item x="772"/>
        <item x="813"/>
        <item x="152"/>
        <item x="124"/>
        <item x="442"/>
        <item x="74"/>
        <item x="61"/>
        <item x="838"/>
        <item x="667"/>
        <item x="139"/>
        <item x="225"/>
        <item x="606"/>
        <item x="179"/>
        <item x="191"/>
        <item x="12"/>
        <item x="345"/>
        <item x="683"/>
        <item x="304"/>
        <item x="591"/>
        <item x="691"/>
        <item x="170"/>
        <item x="733"/>
        <item x="635"/>
        <item x="548"/>
        <item x="4"/>
        <item x="168"/>
        <item x="471"/>
        <item x="67"/>
        <item x="57"/>
        <item x="178"/>
        <item x="678"/>
        <item x="650"/>
        <item x="90"/>
        <item x="405"/>
        <item x="146"/>
        <item x="181"/>
        <item x="240"/>
        <item x="362"/>
        <item x="0"/>
        <item x="118"/>
        <item x="104"/>
        <item x="760"/>
        <item x="504"/>
        <item x="601"/>
        <item x="31"/>
        <item x="143"/>
        <item x="752"/>
        <item x="399"/>
        <item x="3"/>
        <item x="735"/>
        <item x="426"/>
        <item x="198"/>
        <item x="648"/>
        <item x="150"/>
        <item x="828"/>
        <item x="597"/>
        <item x="592"/>
        <item x="98"/>
        <item x="766"/>
        <item x="336"/>
        <item x="608"/>
        <item x="588"/>
        <item x="630"/>
        <item x="485"/>
        <item x="299"/>
        <item x="363"/>
        <item x="428"/>
        <item x="693"/>
        <item x="377"/>
        <item x="309"/>
        <item x="651"/>
        <item x="322"/>
        <item x="556"/>
        <item x="645"/>
        <item x="83"/>
        <item x="185"/>
        <item x="214"/>
        <item x="482"/>
        <item x="641"/>
        <item x="295"/>
        <item x="810"/>
        <item x="371"/>
        <item x="340"/>
        <item x="578"/>
        <item x="551"/>
        <item x="359"/>
        <item x="695"/>
        <item x="709"/>
        <item x="63"/>
        <item x="307"/>
        <item x="722"/>
        <item x="446"/>
        <item x="8"/>
        <item x="736"/>
        <item x="365"/>
        <item x="36"/>
        <item x="259"/>
        <item x="491"/>
        <item x="436"/>
        <item x="290"/>
        <item x="864"/>
        <item x="842"/>
        <item x="773"/>
        <item x="127"/>
        <item x="847"/>
        <item x="231"/>
        <item x="567"/>
        <item x="737"/>
        <item x="713"/>
        <item x="71"/>
        <item x="715"/>
        <item x="136"/>
        <item x="162"/>
        <item x="400"/>
        <item x="739"/>
        <item x="731"/>
        <item x="841"/>
        <item x="392"/>
        <item x="786"/>
        <item x="187"/>
        <item x="315"/>
        <item x="589"/>
        <item x="646"/>
        <item x="410"/>
        <item x="255"/>
        <item x="503"/>
        <item x="472"/>
        <item x="686"/>
        <item x="210"/>
        <item x="196"/>
        <item x="673"/>
        <item x="126"/>
        <item x="248"/>
        <item x="867"/>
        <item x="166"/>
        <item x="547"/>
        <item x="484"/>
        <item x="357"/>
        <item x="374"/>
        <item x="249"/>
        <item x="612"/>
        <item x="195"/>
        <item x="132"/>
        <item x="450"/>
        <item x="594"/>
        <item x="5"/>
        <item x="113"/>
        <item x="321"/>
        <item x="200"/>
        <item x="97"/>
        <item x="822"/>
        <item x="818"/>
        <item x="85"/>
        <item x="38"/>
        <item x="32"/>
        <item x="41"/>
        <item x="355"/>
        <item x="353"/>
        <item x="698"/>
        <item x="53"/>
        <item x="513"/>
        <item x="797"/>
        <item x="247"/>
        <item x="652"/>
        <item x="495"/>
        <item x="677"/>
        <item x="445"/>
        <item x="323"/>
        <item x="125"/>
        <item x="859"/>
        <item x="830"/>
        <item x="759"/>
        <item x="523"/>
        <item x="338"/>
        <item x="457"/>
        <item x="398"/>
        <item x="95"/>
        <item x="514"/>
        <item x="415"/>
        <item x="615"/>
        <item x="174"/>
        <item x="610"/>
        <item x="832"/>
        <item x="93"/>
        <item x="177"/>
        <item x="609"/>
        <item x="629"/>
        <item x="787"/>
        <item x="335"/>
        <item x="312"/>
        <item x="14"/>
        <item x="540"/>
        <item x="866"/>
        <item x="700"/>
        <item x="596"/>
        <item x="803"/>
        <item x="2"/>
        <item x="811"/>
        <item x="407"/>
        <item x="369"/>
        <item x="385"/>
        <item x="333"/>
        <item x="217"/>
        <item x="316"/>
        <item x="507"/>
        <item x="740"/>
        <item x="257"/>
        <item x="157"/>
        <item x="770"/>
        <item x="748"/>
        <item x="244"/>
        <item x="476"/>
        <item x="569"/>
        <item x="394"/>
        <item x="845"/>
        <item x="860"/>
        <item x="788"/>
        <item x="209"/>
        <item x="144"/>
        <item x="757"/>
        <item x="274"/>
        <item x="869"/>
        <item x="515"/>
        <item x="723"/>
        <item x="562"/>
        <item x="437"/>
        <item x="734"/>
        <item x="9"/>
        <item x="262"/>
        <item x="534"/>
        <item x="560"/>
        <item x="539"/>
        <item x="468"/>
        <item x="404"/>
        <item x="692"/>
        <item x="92"/>
        <item x="192"/>
        <item x="226"/>
        <item x="718"/>
        <item x="865"/>
        <item x="826"/>
        <item x="831"/>
        <item x="43"/>
        <item x="269"/>
        <item x="213"/>
        <item x="241"/>
        <item x="26"/>
        <item x="776"/>
        <item x="358"/>
        <item x="184"/>
        <item x="808"/>
        <item x="655"/>
        <item x="243"/>
        <item x="128"/>
        <item x="553"/>
        <item x="7"/>
        <item x="205"/>
        <item x="561"/>
        <item x="525"/>
        <item x="119"/>
        <item x="96"/>
        <item x="572"/>
        <item x="282"/>
        <item x="439"/>
        <item x="273"/>
        <item x="780"/>
        <item x="545"/>
        <item x="164"/>
        <item x="148"/>
        <item x="314"/>
        <item x="20"/>
        <item x="151"/>
        <item x="188"/>
        <item x="364"/>
        <item x="621"/>
        <item x="656"/>
        <item x="726"/>
        <item x="344"/>
        <item x="29"/>
        <item x="705"/>
        <item x="634"/>
        <item x="432"/>
        <item x="49"/>
        <item x="403"/>
        <item x="55"/>
        <item x="414"/>
        <item x="35"/>
        <item x="697"/>
        <item x="554"/>
        <item x="754"/>
        <item x="234"/>
        <item x="349"/>
        <item x="489"/>
        <item x="302"/>
        <item x="378"/>
        <item x="320"/>
        <item x="850"/>
        <item x="440"/>
        <item x="163"/>
        <item x="702"/>
        <item x="106"/>
        <item x="743"/>
        <item x="738"/>
        <item x="633"/>
        <item x="823"/>
        <item x="855"/>
        <item x="447"/>
        <item x="301"/>
        <item x="220"/>
        <item x="509"/>
        <item x="420"/>
        <item x="68"/>
        <item x="643"/>
        <item x="111"/>
        <item x="297"/>
        <item x="475"/>
        <item x="101"/>
        <item x="674"/>
        <item x="694"/>
        <item x="212"/>
        <item x="530"/>
        <item x="137"/>
        <item x="66"/>
        <item x="497"/>
        <item x="518"/>
        <item x="376"/>
        <item x="81"/>
        <item x="807"/>
        <item x="814"/>
        <item x="430"/>
        <item x="765"/>
        <item x="347"/>
        <item x="762"/>
        <item x="685"/>
        <item x="616"/>
        <item x="473"/>
        <item x="647"/>
        <item x="230"/>
        <item x="532"/>
        <item x="782"/>
        <item x="116"/>
        <item x="664"/>
        <item x="688"/>
        <item x="781"/>
        <item x="817"/>
        <item x="483"/>
        <item x="78"/>
        <item x="443"/>
        <item x="745"/>
        <item x="642"/>
        <item x="535"/>
        <item x="627"/>
        <item x="86"/>
        <item x="289"/>
        <item x="18"/>
        <item x="206"/>
        <item x="207"/>
        <item x="626"/>
        <item x="512"/>
        <item x="305"/>
        <item x="140"/>
        <item x="121"/>
        <item x="64"/>
        <item x="730"/>
        <item x="252"/>
        <item x="487"/>
        <item x="806"/>
        <item x="319"/>
        <item x="260"/>
        <item x="528"/>
        <item x="142"/>
        <item x="816"/>
        <item x="329"/>
        <item x="91"/>
        <item x="746"/>
        <item x="741"/>
        <item x="761"/>
        <item x="618"/>
        <item x="189"/>
        <item x="800"/>
        <item x="668"/>
        <item x="287"/>
        <item x="149"/>
        <item x="245"/>
        <item x="331"/>
        <item x="854"/>
        <item x="105"/>
        <item x="657"/>
        <item x="793"/>
        <item x="451"/>
        <item x="566"/>
        <item x="638"/>
        <item x="676"/>
        <item x="750"/>
        <item x="190"/>
        <item x="583"/>
        <item x="58"/>
        <item x="15"/>
        <item x="783"/>
        <item x="599"/>
        <item x="294"/>
        <item x="598"/>
        <item x="153"/>
        <item x="334"/>
        <item x="620"/>
        <item x="108"/>
        <item x="720"/>
        <item x="202"/>
        <item x="672"/>
        <item x="623"/>
        <item x="768"/>
        <item x="543"/>
        <item x="361"/>
        <item x="584"/>
        <item x="275"/>
        <item x="156"/>
        <item x="326"/>
        <item x="775"/>
        <item x="675"/>
        <item x="586"/>
        <item x="54"/>
        <item x="614"/>
        <item x="109"/>
        <item x="438"/>
        <item x="804"/>
        <item x="728"/>
        <item x="449"/>
        <item x="536"/>
        <item x="154"/>
        <item x="228"/>
        <item x="88"/>
        <item x="28"/>
        <item x="500"/>
        <item x="388"/>
        <item x="789"/>
        <item x="327"/>
        <item x="870"/>
        <item x="175"/>
        <item x="508"/>
        <item x="607"/>
        <item x="852"/>
        <item x="311"/>
        <item x="24"/>
        <item x="809"/>
        <item x="712"/>
        <item x="461"/>
        <item x="236"/>
        <item x="383"/>
        <item x="380"/>
        <item x="135"/>
        <item x="308"/>
        <item x="276"/>
        <item x="458"/>
        <item x="696"/>
        <item x="278"/>
        <item x="690"/>
        <item x="402"/>
        <item x="479"/>
        <item x="117"/>
        <item x="99"/>
        <item x="40"/>
        <item x="435"/>
        <item x="576"/>
        <item x="429"/>
        <item x="764"/>
        <item x="812"/>
        <item x="844"/>
        <item x="658"/>
        <item x="159"/>
        <item x="94"/>
        <item x="48"/>
        <item x="193"/>
        <item x="570"/>
        <item x="568"/>
        <item x="613"/>
        <item x="89"/>
        <item x="431"/>
        <item x="585"/>
        <item x="288"/>
        <item x="466"/>
        <item x="681"/>
        <item x="284"/>
        <item x="474"/>
        <item x="115"/>
        <item x="529"/>
        <item x="464"/>
        <item x="769"/>
        <item x="328"/>
        <item x="815"/>
        <item x="75"/>
        <item x="33"/>
        <item x="37"/>
        <item x="587"/>
        <item x="670"/>
        <item x="549"/>
        <item x="348"/>
        <item x="580"/>
        <item x="199"/>
        <item x="699"/>
        <item x="266"/>
        <item x="444"/>
        <item x="501"/>
        <item x="574"/>
        <item x="50"/>
        <item x="459"/>
        <item x="467"/>
        <item x="541"/>
        <item x="167"/>
        <item x="272"/>
        <item x="134"/>
        <item x="488"/>
        <item x="397"/>
        <item x="666"/>
        <item x="375"/>
        <item x="215"/>
        <item x="857"/>
        <item x="711"/>
        <item x="76"/>
        <item x="204"/>
        <item x="133"/>
        <item x="732"/>
        <item x="416"/>
        <item x="478"/>
        <item x="462"/>
        <item x="628"/>
        <item x="409"/>
        <item x="820"/>
        <item x="861"/>
        <item x="725"/>
        <item x="337"/>
        <item x="516"/>
        <item x="662"/>
        <item x="455"/>
        <item x="368"/>
        <item x="833"/>
        <item x="120"/>
        <item x="158"/>
        <item x="517"/>
        <item x="356"/>
        <item x="6"/>
        <item x="341"/>
        <item x="579"/>
        <item x="197"/>
        <item x="366"/>
        <item x="717"/>
        <item x="602"/>
        <item x="352"/>
        <item x="848"/>
        <item x="103"/>
        <item x="218"/>
        <item x="393"/>
        <item x="689"/>
        <item x="419"/>
        <item x="10"/>
        <item x="661"/>
        <item x="45"/>
        <item x="17"/>
        <item x="52"/>
        <item x="453"/>
        <item x="271"/>
        <item x="617"/>
        <item x="751"/>
        <item x="774"/>
        <item x="708"/>
        <item x="771"/>
        <item x="130"/>
        <item x="858"/>
        <item x="216"/>
        <item x="227"/>
        <item x="819"/>
        <item x="559"/>
        <item x="701"/>
        <item x="496"/>
        <item x="342"/>
        <item x="183"/>
        <item x="640"/>
        <item x="30"/>
        <item x="798"/>
        <item x="112"/>
        <item x="421"/>
        <item x="441"/>
        <item x="279"/>
        <item x="494"/>
        <item x="862"/>
        <item x="141"/>
        <item x="663"/>
        <item x="313"/>
        <item x="107"/>
        <item x="481"/>
        <item x="201"/>
        <item x="456"/>
        <item x="235"/>
        <item x="707"/>
        <item x="246"/>
        <item x="660"/>
        <item x="51"/>
        <item x="123"/>
        <item x="463"/>
        <item x="155"/>
        <item x="87"/>
        <item x="573"/>
        <item x="490"/>
        <item x="122"/>
        <item x="219"/>
        <item x="749"/>
        <item x="742"/>
        <item x="25"/>
        <item x="827"/>
        <item x="408"/>
        <item x="318"/>
        <item x="537"/>
        <item x="595"/>
        <item x="714"/>
        <item x="795"/>
        <item x="34"/>
        <item x="590"/>
        <item x="727"/>
        <item x="233"/>
        <item x="256"/>
        <item x="493"/>
        <item x="791"/>
        <item x="669"/>
        <item x="238"/>
        <item x="306"/>
        <item x="492"/>
        <item x="499"/>
        <item x="242"/>
        <item x="285"/>
        <item x="527"/>
        <item x="253"/>
        <item x="542"/>
        <item x="339"/>
        <item x="343"/>
        <item x="851"/>
        <item x="324"/>
        <item x="632"/>
        <item x="729"/>
        <item x="60"/>
        <item x="286"/>
        <item x="389"/>
        <item x="843"/>
        <item x="42"/>
        <item x="519"/>
        <item x="417"/>
        <item x="44"/>
        <item x="411"/>
        <item x="434"/>
        <item x="477"/>
        <item x="69"/>
        <item x="777"/>
        <item x="636"/>
        <item x="423"/>
        <item x="653"/>
        <item x="744"/>
        <item x="510"/>
        <item x="801"/>
        <item x="792"/>
        <item x="853"/>
        <item x="277"/>
        <item x="687"/>
        <item x="145"/>
        <item x="283"/>
        <item x="390"/>
        <item x="522"/>
        <item x="232"/>
        <item x="506"/>
        <item x="840"/>
        <item x="521"/>
        <item x="13"/>
        <item x="665"/>
        <item x="396"/>
        <item x="622"/>
        <item x="659"/>
        <item x="102"/>
        <item x="824"/>
        <item x="194"/>
        <item x="281"/>
        <item x="704"/>
        <item x="413"/>
        <item x="222"/>
        <item x="550"/>
        <item x="511"/>
        <item x="372"/>
        <item x="498"/>
        <item x="182"/>
        <item x="186"/>
        <item x="384"/>
        <item x="794"/>
        <item x="317"/>
        <item x="724"/>
        <item x="433"/>
        <item x="582"/>
        <item x="631"/>
        <item x="270"/>
        <item x="802"/>
        <item x="129"/>
        <item x="65"/>
        <item x="758"/>
        <item x="480"/>
        <item x="23"/>
        <item x="72"/>
        <item x="790"/>
        <item x="367"/>
        <item x="387"/>
        <item x="171"/>
        <item x="538"/>
        <item x="805"/>
        <item x="424"/>
        <item x="785"/>
        <item x="706"/>
        <item x="1"/>
        <item x="526"/>
        <item x="19"/>
        <item x="611"/>
        <item x="401"/>
        <item x="169"/>
        <item x="47"/>
        <item x="454"/>
        <item x="62"/>
        <item x="180"/>
        <item x="208"/>
        <item x="391"/>
        <item x="524"/>
        <item x="73"/>
        <item x="292"/>
        <item x="834"/>
        <item x="710"/>
        <item x="114"/>
        <item x="486"/>
        <item x="160"/>
        <item x="747"/>
        <item x="280"/>
        <item x="846"/>
        <item x="268"/>
        <item x="261"/>
        <item x="386"/>
        <item x="520"/>
        <item x="298"/>
        <item x="755"/>
        <item x="753"/>
        <item x="300"/>
        <item x="619"/>
        <item x="784"/>
        <item x="176"/>
        <item x="557"/>
        <item x="21"/>
        <item x="100"/>
        <item x="110"/>
        <item x="265"/>
        <item x="821"/>
        <item x="27"/>
        <item x="80"/>
        <item x="721"/>
        <item x="250"/>
        <item x="70"/>
        <item x="671"/>
        <item x="849"/>
        <item x="427"/>
        <item x="684"/>
        <item x="84"/>
        <item x="593"/>
        <item x="837"/>
        <item x="644"/>
        <item x="82"/>
        <item x="796"/>
        <item x="825"/>
        <item x="360"/>
        <item x="370"/>
        <item x="373"/>
        <item x="460"/>
        <item x="293"/>
        <item x="465"/>
        <item x="346"/>
        <item t="default"/>
      </items>
    </pivotField>
    <pivotField showAll="0"/>
    <pivotField showAll="0"/>
    <pivotField showAll="0"/>
    <pivotField showAll="0">
      <items count="3">
        <item x="1"/>
        <item x="0"/>
        <item t="default"/>
      </items>
    </pivotField>
    <pivotField showAll="0">
      <items count="7">
        <item x="2"/>
        <item x="0"/>
        <item x="1"/>
        <item x="5"/>
        <item x="3"/>
        <item x="4"/>
        <item t="default"/>
      </items>
    </pivotField>
    <pivotField showAll="0"/>
    <pivotField showAll="0"/>
    <pivotField dataField="1"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2">
        <item sd="0" x="0"/>
        <item sd="0" x="1"/>
        <item sd="0" x="2"/>
        <item sd="0" x="3"/>
        <item sd="0" x="4"/>
        <item sd="0" x="5"/>
        <item sd="0" x="6"/>
        <item sd="0" x="7"/>
        <item sd="0" x="8"/>
        <item sd="0" x="9"/>
        <item sd="0" x="10"/>
        <item t="default"/>
      </items>
    </pivotField>
  </pivotFields>
  <rowItems count="1">
    <i/>
  </rowItems>
  <colItems count="1">
    <i/>
  </colItems>
  <dataFields count="1">
    <dataField name="Avg Budget" fld="14" subtotal="average" baseField="0" baseItem="0" numFmtId="164"/>
  </dataFields>
  <formats count="2">
    <format dxfId="1">
      <pivotArea outline="0" collapsedLevelsAreSubtotals="1" fieldPosition="0"/>
    </format>
    <format dxfId="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E60E8A-0994-4916-957A-687A170F2C9D}" name="Production_Count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Countries">
  <location ref="K13:L22" firstHeaderRow="1" firstDataRow="1" firstDataCol="1"/>
  <pivotFields count="19">
    <pivotField showAll="0"/>
    <pivotField showAll="0">
      <items count="3">
        <item x="1"/>
        <item x="0"/>
        <item t="default"/>
      </items>
    </pivotField>
    <pivotField dataField="1" showAll="0"/>
    <pivotField showAll="0"/>
    <pivotField showAll="0"/>
    <pivotField axis="axisRow" showAll="0">
      <items count="9">
        <item x="2"/>
        <item x="5"/>
        <item x="4"/>
        <item x="6"/>
        <item x="0"/>
        <item x="1"/>
        <item x="3"/>
        <item x="7"/>
        <item t="default"/>
      </items>
    </pivotField>
    <pivotField numFmtId="14" showAll="0">
      <items count="872">
        <item x="165"/>
        <item x="703"/>
        <item x="531"/>
        <item x="79"/>
        <item x="224"/>
        <item x="604"/>
        <item x="779"/>
        <item x="756"/>
        <item x="682"/>
        <item x="716"/>
        <item x="46"/>
        <item x="172"/>
        <item x="558"/>
        <item x="203"/>
        <item x="39"/>
        <item x="296"/>
        <item x="555"/>
        <item x="763"/>
        <item x="649"/>
        <item x="263"/>
        <item x="303"/>
        <item x="330"/>
        <item x="16"/>
        <item x="605"/>
        <item x="654"/>
        <item x="581"/>
        <item x="639"/>
        <item x="422"/>
        <item x="835"/>
        <item x="799"/>
        <item x="469"/>
        <item x="868"/>
        <item x="680"/>
        <item x="533"/>
        <item x="452"/>
        <item x="839"/>
        <item x="418"/>
        <item x="138"/>
        <item x="600"/>
        <item x="778"/>
        <item x="856"/>
        <item x="603"/>
        <item x="565"/>
        <item x="147"/>
        <item x="546"/>
        <item x="239"/>
        <item x="625"/>
        <item x="577"/>
        <item x="382"/>
        <item x="22"/>
        <item x="264"/>
        <item x="502"/>
        <item x="258"/>
        <item x="351"/>
        <item x="237"/>
        <item x="425"/>
        <item x="563"/>
        <item x="412"/>
        <item x="211"/>
        <item x="11"/>
        <item x="223"/>
        <item x="829"/>
        <item x="254"/>
        <item x="863"/>
        <item x="229"/>
        <item x="448"/>
        <item x="173"/>
        <item x="379"/>
        <item x="325"/>
        <item x="267"/>
        <item x="544"/>
        <item x="131"/>
        <item x="310"/>
        <item x="332"/>
        <item x="564"/>
        <item x="291"/>
        <item x="637"/>
        <item x="575"/>
        <item x="571"/>
        <item x="836"/>
        <item x="221"/>
        <item x="552"/>
        <item x="350"/>
        <item x="505"/>
        <item x="470"/>
        <item x="395"/>
        <item x="719"/>
        <item x="59"/>
        <item x="767"/>
        <item x="161"/>
        <item x="624"/>
        <item x="381"/>
        <item x="251"/>
        <item x="679"/>
        <item x="406"/>
        <item x="77"/>
        <item x="56"/>
        <item x="354"/>
        <item x="772"/>
        <item x="813"/>
        <item x="152"/>
        <item x="124"/>
        <item x="442"/>
        <item x="74"/>
        <item x="61"/>
        <item x="838"/>
        <item x="667"/>
        <item x="139"/>
        <item x="225"/>
        <item x="606"/>
        <item x="179"/>
        <item x="191"/>
        <item x="12"/>
        <item x="345"/>
        <item x="683"/>
        <item x="304"/>
        <item x="591"/>
        <item x="691"/>
        <item x="170"/>
        <item x="733"/>
        <item x="635"/>
        <item x="548"/>
        <item x="4"/>
        <item x="168"/>
        <item x="471"/>
        <item x="67"/>
        <item x="57"/>
        <item x="178"/>
        <item x="678"/>
        <item x="650"/>
        <item x="90"/>
        <item x="405"/>
        <item x="146"/>
        <item x="181"/>
        <item x="240"/>
        <item x="362"/>
        <item x="0"/>
        <item x="118"/>
        <item x="104"/>
        <item x="760"/>
        <item x="504"/>
        <item x="601"/>
        <item x="31"/>
        <item x="143"/>
        <item x="752"/>
        <item x="399"/>
        <item x="3"/>
        <item x="735"/>
        <item x="426"/>
        <item x="198"/>
        <item x="648"/>
        <item x="150"/>
        <item x="828"/>
        <item x="597"/>
        <item x="592"/>
        <item x="98"/>
        <item x="766"/>
        <item x="336"/>
        <item x="608"/>
        <item x="588"/>
        <item x="630"/>
        <item x="485"/>
        <item x="299"/>
        <item x="363"/>
        <item x="428"/>
        <item x="693"/>
        <item x="377"/>
        <item x="309"/>
        <item x="651"/>
        <item x="322"/>
        <item x="556"/>
        <item x="645"/>
        <item x="83"/>
        <item x="185"/>
        <item x="214"/>
        <item x="482"/>
        <item x="641"/>
        <item x="295"/>
        <item x="810"/>
        <item x="371"/>
        <item x="340"/>
        <item x="578"/>
        <item x="551"/>
        <item x="359"/>
        <item x="695"/>
        <item x="709"/>
        <item x="63"/>
        <item x="307"/>
        <item x="722"/>
        <item x="446"/>
        <item x="8"/>
        <item x="736"/>
        <item x="365"/>
        <item x="36"/>
        <item x="259"/>
        <item x="491"/>
        <item x="436"/>
        <item x="290"/>
        <item x="864"/>
        <item x="842"/>
        <item x="773"/>
        <item x="127"/>
        <item x="847"/>
        <item x="231"/>
        <item x="567"/>
        <item x="737"/>
        <item x="713"/>
        <item x="71"/>
        <item x="715"/>
        <item x="136"/>
        <item x="162"/>
        <item x="400"/>
        <item x="739"/>
        <item x="731"/>
        <item x="841"/>
        <item x="392"/>
        <item x="786"/>
        <item x="187"/>
        <item x="315"/>
        <item x="589"/>
        <item x="646"/>
        <item x="410"/>
        <item x="255"/>
        <item x="503"/>
        <item x="472"/>
        <item x="686"/>
        <item x="210"/>
        <item x="196"/>
        <item x="673"/>
        <item x="126"/>
        <item x="248"/>
        <item x="867"/>
        <item x="166"/>
        <item x="547"/>
        <item x="484"/>
        <item x="357"/>
        <item x="374"/>
        <item x="249"/>
        <item x="612"/>
        <item x="195"/>
        <item x="132"/>
        <item x="450"/>
        <item x="594"/>
        <item x="5"/>
        <item x="113"/>
        <item x="321"/>
        <item x="200"/>
        <item x="97"/>
        <item x="822"/>
        <item x="818"/>
        <item x="85"/>
        <item x="38"/>
        <item x="32"/>
        <item x="41"/>
        <item x="355"/>
        <item x="353"/>
        <item x="698"/>
        <item x="53"/>
        <item x="513"/>
        <item x="797"/>
        <item x="247"/>
        <item x="652"/>
        <item x="495"/>
        <item x="677"/>
        <item x="445"/>
        <item x="323"/>
        <item x="125"/>
        <item x="859"/>
        <item x="830"/>
        <item x="759"/>
        <item x="523"/>
        <item x="338"/>
        <item x="457"/>
        <item x="398"/>
        <item x="95"/>
        <item x="514"/>
        <item x="415"/>
        <item x="615"/>
        <item x="174"/>
        <item x="610"/>
        <item x="832"/>
        <item x="93"/>
        <item x="177"/>
        <item x="609"/>
        <item x="629"/>
        <item x="787"/>
        <item x="335"/>
        <item x="312"/>
        <item x="14"/>
        <item x="540"/>
        <item x="866"/>
        <item x="700"/>
        <item x="596"/>
        <item x="803"/>
        <item x="2"/>
        <item x="811"/>
        <item x="407"/>
        <item x="369"/>
        <item x="385"/>
        <item x="333"/>
        <item x="217"/>
        <item x="316"/>
        <item x="507"/>
        <item x="740"/>
        <item x="257"/>
        <item x="157"/>
        <item x="770"/>
        <item x="748"/>
        <item x="244"/>
        <item x="476"/>
        <item x="569"/>
        <item x="394"/>
        <item x="845"/>
        <item x="860"/>
        <item x="788"/>
        <item x="209"/>
        <item x="144"/>
        <item x="757"/>
        <item x="274"/>
        <item x="869"/>
        <item x="515"/>
        <item x="723"/>
        <item x="562"/>
        <item x="437"/>
        <item x="734"/>
        <item x="9"/>
        <item x="262"/>
        <item x="534"/>
        <item x="560"/>
        <item x="539"/>
        <item x="468"/>
        <item x="404"/>
        <item x="692"/>
        <item x="92"/>
        <item x="192"/>
        <item x="226"/>
        <item x="718"/>
        <item x="865"/>
        <item x="826"/>
        <item x="831"/>
        <item x="43"/>
        <item x="269"/>
        <item x="213"/>
        <item x="241"/>
        <item x="26"/>
        <item x="776"/>
        <item x="358"/>
        <item x="184"/>
        <item x="808"/>
        <item x="655"/>
        <item x="243"/>
        <item x="128"/>
        <item x="553"/>
        <item x="7"/>
        <item x="205"/>
        <item x="561"/>
        <item x="525"/>
        <item x="119"/>
        <item x="96"/>
        <item x="572"/>
        <item x="282"/>
        <item x="439"/>
        <item x="273"/>
        <item x="780"/>
        <item x="545"/>
        <item x="164"/>
        <item x="148"/>
        <item x="314"/>
        <item x="20"/>
        <item x="151"/>
        <item x="188"/>
        <item x="364"/>
        <item x="621"/>
        <item x="656"/>
        <item x="726"/>
        <item x="344"/>
        <item x="29"/>
        <item x="705"/>
        <item x="634"/>
        <item x="432"/>
        <item x="49"/>
        <item x="403"/>
        <item x="55"/>
        <item x="414"/>
        <item x="35"/>
        <item x="697"/>
        <item x="554"/>
        <item x="754"/>
        <item x="234"/>
        <item x="349"/>
        <item x="489"/>
        <item x="302"/>
        <item x="378"/>
        <item x="320"/>
        <item x="850"/>
        <item x="440"/>
        <item x="163"/>
        <item x="702"/>
        <item x="106"/>
        <item x="743"/>
        <item x="738"/>
        <item x="633"/>
        <item x="823"/>
        <item x="855"/>
        <item x="447"/>
        <item x="301"/>
        <item x="220"/>
        <item x="509"/>
        <item x="420"/>
        <item x="68"/>
        <item x="643"/>
        <item x="111"/>
        <item x="297"/>
        <item x="475"/>
        <item x="101"/>
        <item x="674"/>
        <item x="694"/>
        <item x="212"/>
        <item x="530"/>
        <item x="137"/>
        <item x="66"/>
        <item x="497"/>
        <item x="518"/>
        <item x="376"/>
        <item x="81"/>
        <item x="807"/>
        <item x="814"/>
        <item x="430"/>
        <item x="765"/>
        <item x="347"/>
        <item x="762"/>
        <item x="685"/>
        <item x="616"/>
        <item x="473"/>
        <item x="647"/>
        <item x="230"/>
        <item x="532"/>
        <item x="782"/>
        <item x="116"/>
        <item x="664"/>
        <item x="688"/>
        <item x="781"/>
        <item x="817"/>
        <item x="483"/>
        <item x="78"/>
        <item x="443"/>
        <item x="745"/>
        <item x="642"/>
        <item x="535"/>
        <item x="627"/>
        <item x="86"/>
        <item x="289"/>
        <item x="18"/>
        <item x="206"/>
        <item x="207"/>
        <item x="626"/>
        <item x="512"/>
        <item x="305"/>
        <item x="140"/>
        <item x="121"/>
        <item x="64"/>
        <item x="730"/>
        <item x="252"/>
        <item x="487"/>
        <item x="806"/>
        <item x="319"/>
        <item x="260"/>
        <item x="528"/>
        <item x="142"/>
        <item x="816"/>
        <item x="329"/>
        <item x="91"/>
        <item x="746"/>
        <item x="741"/>
        <item x="761"/>
        <item x="618"/>
        <item x="189"/>
        <item x="800"/>
        <item x="668"/>
        <item x="287"/>
        <item x="149"/>
        <item x="245"/>
        <item x="331"/>
        <item x="854"/>
        <item x="105"/>
        <item x="657"/>
        <item x="793"/>
        <item x="451"/>
        <item x="566"/>
        <item x="638"/>
        <item x="676"/>
        <item x="750"/>
        <item x="190"/>
        <item x="583"/>
        <item x="58"/>
        <item x="15"/>
        <item x="783"/>
        <item x="599"/>
        <item x="294"/>
        <item x="598"/>
        <item x="153"/>
        <item x="334"/>
        <item x="620"/>
        <item x="108"/>
        <item x="720"/>
        <item x="202"/>
        <item x="672"/>
        <item x="623"/>
        <item x="768"/>
        <item x="543"/>
        <item x="361"/>
        <item x="584"/>
        <item x="275"/>
        <item x="156"/>
        <item x="326"/>
        <item x="775"/>
        <item x="675"/>
        <item x="586"/>
        <item x="54"/>
        <item x="614"/>
        <item x="109"/>
        <item x="438"/>
        <item x="804"/>
        <item x="728"/>
        <item x="449"/>
        <item x="536"/>
        <item x="154"/>
        <item x="228"/>
        <item x="88"/>
        <item x="28"/>
        <item x="500"/>
        <item x="388"/>
        <item x="789"/>
        <item x="327"/>
        <item x="870"/>
        <item x="175"/>
        <item x="508"/>
        <item x="607"/>
        <item x="852"/>
        <item x="311"/>
        <item x="24"/>
        <item x="809"/>
        <item x="712"/>
        <item x="461"/>
        <item x="236"/>
        <item x="383"/>
        <item x="380"/>
        <item x="135"/>
        <item x="308"/>
        <item x="276"/>
        <item x="458"/>
        <item x="696"/>
        <item x="278"/>
        <item x="690"/>
        <item x="402"/>
        <item x="479"/>
        <item x="117"/>
        <item x="99"/>
        <item x="40"/>
        <item x="435"/>
        <item x="576"/>
        <item x="429"/>
        <item x="764"/>
        <item x="812"/>
        <item x="844"/>
        <item x="658"/>
        <item x="159"/>
        <item x="94"/>
        <item x="48"/>
        <item x="193"/>
        <item x="570"/>
        <item x="568"/>
        <item x="613"/>
        <item x="89"/>
        <item x="431"/>
        <item x="585"/>
        <item x="288"/>
        <item x="466"/>
        <item x="681"/>
        <item x="284"/>
        <item x="474"/>
        <item x="115"/>
        <item x="529"/>
        <item x="464"/>
        <item x="769"/>
        <item x="328"/>
        <item x="815"/>
        <item x="75"/>
        <item x="33"/>
        <item x="37"/>
        <item x="587"/>
        <item x="670"/>
        <item x="549"/>
        <item x="348"/>
        <item x="580"/>
        <item x="199"/>
        <item x="699"/>
        <item x="266"/>
        <item x="444"/>
        <item x="501"/>
        <item x="574"/>
        <item x="50"/>
        <item x="459"/>
        <item x="467"/>
        <item x="541"/>
        <item x="167"/>
        <item x="272"/>
        <item x="134"/>
        <item x="488"/>
        <item x="397"/>
        <item x="666"/>
        <item x="375"/>
        <item x="215"/>
        <item x="857"/>
        <item x="711"/>
        <item x="76"/>
        <item x="204"/>
        <item x="133"/>
        <item x="732"/>
        <item x="416"/>
        <item x="478"/>
        <item x="462"/>
        <item x="628"/>
        <item x="409"/>
        <item x="820"/>
        <item x="861"/>
        <item x="725"/>
        <item x="337"/>
        <item x="516"/>
        <item x="662"/>
        <item x="455"/>
        <item x="368"/>
        <item x="833"/>
        <item x="120"/>
        <item x="158"/>
        <item x="517"/>
        <item x="356"/>
        <item x="6"/>
        <item x="341"/>
        <item x="579"/>
        <item x="197"/>
        <item x="366"/>
        <item x="717"/>
        <item x="602"/>
        <item x="352"/>
        <item x="848"/>
        <item x="103"/>
        <item x="218"/>
        <item x="393"/>
        <item x="689"/>
        <item x="419"/>
        <item x="10"/>
        <item x="661"/>
        <item x="45"/>
        <item x="17"/>
        <item x="52"/>
        <item x="453"/>
        <item x="271"/>
        <item x="617"/>
        <item x="751"/>
        <item x="774"/>
        <item x="708"/>
        <item x="771"/>
        <item x="130"/>
        <item x="858"/>
        <item x="216"/>
        <item x="227"/>
        <item x="819"/>
        <item x="559"/>
        <item x="701"/>
        <item x="496"/>
        <item x="342"/>
        <item x="183"/>
        <item x="640"/>
        <item x="30"/>
        <item x="798"/>
        <item x="112"/>
        <item x="421"/>
        <item x="441"/>
        <item x="279"/>
        <item x="494"/>
        <item x="862"/>
        <item x="141"/>
        <item x="663"/>
        <item x="313"/>
        <item x="107"/>
        <item x="481"/>
        <item x="201"/>
        <item x="456"/>
        <item x="235"/>
        <item x="707"/>
        <item x="246"/>
        <item x="660"/>
        <item x="51"/>
        <item x="123"/>
        <item x="463"/>
        <item x="155"/>
        <item x="87"/>
        <item x="573"/>
        <item x="490"/>
        <item x="122"/>
        <item x="219"/>
        <item x="749"/>
        <item x="742"/>
        <item x="25"/>
        <item x="827"/>
        <item x="408"/>
        <item x="318"/>
        <item x="537"/>
        <item x="595"/>
        <item x="714"/>
        <item x="795"/>
        <item x="34"/>
        <item x="590"/>
        <item x="727"/>
        <item x="233"/>
        <item x="256"/>
        <item x="493"/>
        <item x="791"/>
        <item x="669"/>
        <item x="238"/>
        <item x="306"/>
        <item x="492"/>
        <item x="499"/>
        <item x="242"/>
        <item x="285"/>
        <item x="527"/>
        <item x="253"/>
        <item x="542"/>
        <item x="339"/>
        <item x="343"/>
        <item x="851"/>
        <item x="324"/>
        <item x="632"/>
        <item x="729"/>
        <item x="60"/>
        <item x="286"/>
        <item x="389"/>
        <item x="843"/>
        <item x="42"/>
        <item x="519"/>
        <item x="417"/>
        <item x="44"/>
        <item x="411"/>
        <item x="434"/>
        <item x="477"/>
        <item x="69"/>
        <item x="777"/>
        <item x="636"/>
        <item x="423"/>
        <item x="653"/>
        <item x="744"/>
        <item x="510"/>
        <item x="801"/>
        <item x="792"/>
        <item x="853"/>
        <item x="277"/>
        <item x="687"/>
        <item x="145"/>
        <item x="283"/>
        <item x="390"/>
        <item x="522"/>
        <item x="232"/>
        <item x="506"/>
        <item x="840"/>
        <item x="521"/>
        <item x="13"/>
        <item x="665"/>
        <item x="396"/>
        <item x="622"/>
        <item x="659"/>
        <item x="102"/>
        <item x="824"/>
        <item x="194"/>
        <item x="281"/>
        <item x="704"/>
        <item x="413"/>
        <item x="222"/>
        <item x="550"/>
        <item x="511"/>
        <item x="372"/>
        <item x="498"/>
        <item x="182"/>
        <item x="186"/>
        <item x="384"/>
        <item x="794"/>
        <item x="317"/>
        <item x="724"/>
        <item x="433"/>
        <item x="582"/>
        <item x="631"/>
        <item x="270"/>
        <item x="802"/>
        <item x="129"/>
        <item x="65"/>
        <item x="758"/>
        <item x="480"/>
        <item x="23"/>
        <item x="72"/>
        <item x="790"/>
        <item x="367"/>
        <item x="387"/>
        <item x="171"/>
        <item x="538"/>
        <item x="805"/>
        <item x="424"/>
        <item x="785"/>
        <item x="706"/>
        <item x="1"/>
        <item x="526"/>
        <item x="19"/>
        <item x="611"/>
        <item x="401"/>
        <item x="169"/>
        <item x="47"/>
        <item x="454"/>
        <item x="62"/>
        <item x="180"/>
        <item x="208"/>
        <item x="391"/>
        <item x="524"/>
        <item x="73"/>
        <item x="292"/>
        <item x="834"/>
        <item x="710"/>
        <item x="114"/>
        <item x="486"/>
        <item x="160"/>
        <item x="747"/>
        <item x="280"/>
        <item x="846"/>
        <item x="268"/>
        <item x="261"/>
        <item x="386"/>
        <item x="520"/>
        <item x="298"/>
        <item x="755"/>
        <item x="753"/>
        <item x="300"/>
        <item x="619"/>
        <item x="784"/>
        <item x="176"/>
        <item x="557"/>
        <item x="21"/>
        <item x="100"/>
        <item x="110"/>
        <item x="265"/>
        <item x="821"/>
        <item x="27"/>
        <item x="80"/>
        <item x="721"/>
        <item x="250"/>
        <item x="70"/>
        <item x="671"/>
        <item x="849"/>
        <item x="427"/>
        <item x="684"/>
        <item x="84"/>
        <item x="593"/>
        <item x="837"/>
        <item x="644"/>
        <item x="82"/>
        <item x="796"/>
        <item x="825"/>
        <item x="360"/>
        <item x="370"/>
        <item x="373"/>
        <item x="460"/>
        <item x="293"/>
        <item x="465"/>
        <item x="346"/>
        <item t="default"/>
      </items>
    </pivotField>
    <pivotField showAll="0"/>
    <pivotField showAll="0"/>
    <pivotField showAll="0"/>
    <pivotField showAll="0">
      <items count="3">
        <item x="1"/>
        <item x="0"/>
        <item t="default"/>
      </items>
    </pivotField>
    <pivotField showAll="0">
      <items count="7">
        <item x="2"/>
        <item x="0"/>
        <item x="1"/>
        <item x="5"/>
        <item x="3"/>
        <item x="4"/>
        <item t="default"/>
      </items>
    </pivotField>
    <pivotField showAll="0"/>
    <pivotField showAll="0"/>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5"/>
  </rowFields>
  <rowItems count="9">
    <i>
      <x/>
    </i>
    <i>
      <x v="1"/>
    </i>
    <i>
      <x v="2"/>
    </i>
    <i>
      <x v="3"/>
    </i>
    <i>
      <x v="4"/>
    </i>
    <i>
      <x v="5"/>
    </i>
    <i>
      <x v="6"/>
    </i>
    <i>
      <x v="7"/>
    </i>
    <i t="grand">
      <x/>
    </i>
  </rowItems>
  <colItems count="1">
    <i/>
  </colItems>
  <dataFields count="1">
    <dataField name="Number Of Titles" fld="2" subtotal="count" baseField="5"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559A79-7D6F-44A2-8CFC-008DA88EC02D}" name="DFuration_Percentag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Content Type">
  <location ref="A13:B16" firstHeaderRow="1" firstDataRow="1" firstDataCol="1"/>
  <pivotFields count="19">
    <pivotField showAll="0"/>
    <pivotField axis="axisRow" showAll="0">
      <items count="3">
        <item x="1"/>
        <item x="0"/>
        <item t="default"/>
      </items>
    </pivotField>
    <pivotField showAll="0"/>
    <pivotField showAll="0"/>
    <pivotField showAll="0"/>
    <pivotField showAll="0">
      <items count="9">
        <item x="2"/>
        <item x="5"/>
        <item x="4"/>
        <item x="6"/>
        <item x="0"/>
        <item x="1"/>
        <item x="3"/>
        <item x="7"/>
        <item t="default"/>
      </items>
    </pivotField>
    <pivotField numFmtId="14" showAll="0">
      <items count="872">
        <item x="165"/>
        <item x="703"/>
        <item x="531"/>
        <item x="79"/>
        <item x="224"/>
        <item x="604"/>
        <item x="779"/>
        <item x="756"/>
        <item x="682"/>
        <item x="716"/>
        <item x="46"/>
        <item x="172"/>
        <item x="558"/>
        <item x="203"/>
        <item x="39"/>
        <item x="296"/>
        <item x="555"/>
        <item x="763"/>
        <item x="649"/>
        <item x="263"/>
        <item x="303"/>
        <item x="330"/>
        <item x="16"/>
        <item x="605"/>
        <item x="654"/>
        <item x="581"/>
        <item x="639"/>
        <item x="422"/>
        <item x="835"/>
        <item x="799"/>
        <item x="469"/>
        <item x="868"/>
        <item x="680"/>
        <item x="533"/>
        <item x="452"/>
        <item x="839"/>
        <item x="418"/>
        <item x="138"/>
        <item x="600"/>
        <item x="778"/>
        <item x="856"/>
        <item x="603"/>
        <item x="565"/>
        <item x="147"/>
        <item x="546"/>
        <item x="239"/>
        <item x="625"/>
        <item x="577"/>
        <item x="382"/>
        <item x="22"/>
        <item x="264"/>
        <item x="502"/>
        <item x="258"/>
        <item x="351"/>
        <item x="237"/>
        <item x="425"/>
        <item x="563"/>
        <item x="412"/>
        <item x="211"/>
        <item x="11"/>
        <item x="223"/>
        <item x="829"/>
        <item x="254"/>
        <item x="863"/>
        <item x="229"/>
        <item x="448"/>
        <item x="173"/>
        <item x="379"/>
        <item x="325"/>
        <item x="267"/>
        <item x="544"/>
        <item x="131"/>
        <item x="310"/>
        <item x="332"/>
        <item x="564"/>
        <item x="291"/>
        <item x="637"/>
        <item x="575"/>
        <item x="571"/>
        <item x="836"/>
        <item x="221"/>
        <item x="552"/>
        <item x="350"/>
        <item x="505"/>
        <item x="470"/>
        <item x="395"/>
        <item x="719"/>
        <item x="59"/>
        <item x="767"/>
        <item x="161"/>
        <item x="624"/>
        <item x="381"/>
        <item x="251"/>
        <item x="679"/>
        <item x="406"/>
        <item x="77"/>
        <item x="56"/>
        <item x="354"/>
        <item x="772"/>
        <item x="813"/>
        <item x="152"/>
        <item x="124"/>
        <item x="442"/>
        <item x="74"/>
        <item x="61"/>
        <item x="838"/>
        <item x="667"/>
        <item x="139"/>
        <item x="225"/>
        <item x="606"/>
        <item x="179"/>
        <item x="191"/>
        <item x="12"/>
        <item x="345"/>
        <item x="683"/>
        <item x="304"/>
        <item x="591"/>
        <item x="691"/>
        <item x="170"/>
        <item x="733"/>
        <item x="635"/>
        <item x="548"/>
        <item x="4"/>
        <item x="168"/>
        <item x="471"/>
        <item x="67"/>
        <item x="57"/>
        <item x="178"/>
        <item x="678"/>
        <item x="650"/>
        <item x="90"/>
        <item x="405"/>
        <item x="146"/>
        <item x="181"/>
        <item x="240"/>
        <item x="362"/>
        <item x="0"/>
        <item x="118"/>
        <item x="104"/>
        <item x="760"/>
        <item x="504"/>
        <item x="601"/>
        <item x="31"/>
        <item x="143"/>
        <item x="752"/>
        <item x="399"/>
        <item x="3"/>
        <item x="735"/>
        <item x="426"/>
        <item x="198"/>
        <item x="648"/>
        <item x="150"/>
        <item x="828"/>
        <item x="597"/>
        <item x="592"/>
        <item x="98"/>
        <item x="766"/>
        <item x="336"/>
        <item x="608"/>
        <item x="588"/>
        <item x="630"/>
        <item x="485"/>
        <item x="299"/>
        <item x="363"/>
        <item x="428"/>
        <item x="693"/>
        <item x="377"/>
        <item x="309"/>
        <item x="651"/>
        <item x="322"/>
        <item x="556"/>
        <item x="645"/>
        <item x="83"/>
        <item x="185"/>
        <item x="214"/>
        <item x="482"/>
        <item x="641"/>
        <item x="295"/>
        <item x="810"/>
        <item x="371"/>
        <item x="340"/>
        <item x="578"/>
        <item x="551"/>
        <item x="359"/>
        <item x="695"/>
        <item x="709"/>
        <item x="63"/>
        <item x="307"/>
        <item x="722"/>
        <item x="446"/>
        <item x="8"/>
        <item x="736"/>
        <item x="365"/>
        <item x="36"/>
        <item x="259"/>
        <item x="491"/>
        <item x="436"/>
        <item x="290"/>
        <item x="864"/>
        <item x="842"/>
        <item x="773"/>
        <item x="127"/>
        <item x="847"/>
        <item x="231"/>
        <item x="567"/>
        <item x="737"/>
        <item x="713"/>
        <item x="71"/>
        <item x="715"/>
        <item x="136"/>
        <item x="162"/>
        <item x="400"/>
        <item x="739"/>
        <item x="731"/>
        <item x="841"/>
        <item x="392"/>
        <item x="786"/>
        <item x="187"/>
        <item x="315"/>
        <item x="589"/>
        <item x="646"/>
        <item x="410"/>
        <item x="255"/>
        <item x="503"/>
        <item x="472"/>
        <item x="686"/>
        <item x="210"/>
        <item x="196"/>
        <item x="673"/>
        <item x="126"/>
        <item x="248"/>
        <item x="867"/>
        <item x="166"/>
        <item x="547"/>
        <item x="484"/>
        <item x="357"/>
        <item x="374"/>
        <item x="249"/>
        <item x="612"/>
        <item x="195"/>
        <item x="132"/>
        <item x="450"/>
        <item x="594"/>
        <item x="5"/>
        <item x="113"/>
        <item x="321"/>
        <item x="200"/>
        <item x="97"/>
        <item x="822"/>
        <item x="818"/>
        <item x="85"/>
        <item x="38"/>
        <item x="32"/>
        <item x="41"/>
        <item x="355"/>
        <item x="353"/>
        <item x="698"/>
        <item x="53"/>
        <item x="513"/>
        <item x="797"/>
        <item x="247"/>
        <item x="652"/>
        <item x="495"/>
        <item x="677"/>
        <item x="445"/>
        <item x="323"/>
        <item x="125"/>
        <item x="859"/>
        <item x="830"/>
        <item x="759"/>
        <item x="523"/>
        <item x="338"/>
        <item x="457"/>
        <item x="398"/>
        <item x="95"/>
        <item x="514"/>
        <item x="415"/>
        <item x="615"/>
        <item x="174"/>
        <item x="610"/>
        <item x="832"/>
        <item x="93"/>
        <item x="177"/>
        <item x="609"/>
        <item x="629"/>
        <item x="787"/>
        <item x="335"/>
        <item x="312"/>
        <item x="14"/>
        <item x="540"/>
        <item x="866"/>
        <item x="700"/>
        <item x="596"/>
        <item x="803"/>
        <item x="2"/>
        <item x="811"/>
        <item x="407"/>
        <item x="369"/>
        <item x="385"/>
        <item x="333"/>
        <item x="217"/>
        <item x="316"/>
        <item x="507"/>
        <item x="740"/>
        <item x="257"/>
        <item x="157"/>
        <item x="770"/>
        <item x="748"/>
        <item x="244"/>
        <item x="476"/>
        <item x="569"/>
        <item x="394"/>
        <item x="845"/>
        <item x="860"/>
        <item x="788"/>
        <item x="209"/>
        <item x="144"/>
        <item x="757"/>
        <item x="274"/>
        <item x="869"/>
        <item x="515"/>
        <item x="723"/>
        <item x="562"/>
        <item x="437"/>
        <item x="734"/>
        <item x="9"/>
        <item x="262"/>
        <item x="534"/>
        <item x="560"/>
        <item x="539"/>
        <item x="468"/>
        <item x="404"/>
        <item x="692"/>
        <item x="92"/>
        <item x="192"/>
        <item x="226"/>
        <item x="718"/>
        <item x="865"/>
        <item x="826"/>
        <item x="831"/>
        <item x="43"/>
        <item x="269"/>
        <item x="213"/>
        <item x="241"/>
        <item x="26"/>
        <item x="776"/>
        <item x="358"/>
        <item x="184"/>
        <item x="808"/>
        <item x="655"/>
        <item x="243"/>
        <item x="128"/>
        <item x="553"/>
        <item x="7"/>
        <item x="205"/>
        <item x="561"/>
        <item x="525"/>
        <item x="119"/>
        <item x="96"/>
        <item x="572"/>
        <item x="282"/>
        <item x="439"/>
        <item x="273"/>
        <item x="780"/>
        <item x="545"/>
        <item x="164"/>
        <item x="148"/>
        <item x="314"/>
        <item x="20"/>
        <item x="151"/>
        <item x="188"/>
        <item x="364"/>
        <item x="621"/>
        <item x="656"/>
        <item x="726"/>
        <item x="344"/>
        <item x="29"/>
        <item x="705"/>
        <item x="634"/>
        <item x="432"/>
        <item x="49"/>
        <item x="403"/>
        <item x="55"/>
        <item x="414"/>
        <item x="35"/>
        <item x="697"/>
        <item x="554"/>
        <item x="754"/>
        <item x="234"/>
        <item x="349"/>
        <item x="489"/>
        <item x="302"/>
        <item x="378"/>
        <item x="320"/>
        <item x="850"/>
        <item x="440"/>
        <item x="163"/>
        <item x="702"/>
        <item x="106"/>
        <item x="743"/>
        <item x="738"/>
        <item x="633"/>
        <item x="823"/>
        <item x="855"/>
        <item x="447"/>
        <item x="301"/>
        <item x="220"/>
        <item x="509"/>
        <item x="420"/>
        <item x="68"/>
        <item x="643"/>
        <item x="111"/>
        <item x="297"/>
        <item x="475"/>
        <item x="101"/>
        <item x="674"/>
        <item x="694"/>
        <item x="212"/>
        <item x="530"/>
        <item x="137"/>
        <item x="66"/>
        <item x="497"/>
        <item x="518"/>
        <item x="376"/>
        <item x="81"/>
        <item x="807"/>
        <item x="814"/>
        <item x="430"/>
        <item x="765"/>
        <item x="347"/>
        <item x="762"/>
        <item x="685"/>
        <item x="616"/>
        <item x="473"/>
        <item x="647"/>
        <item x="230"/>
        <item x="532"/>
        <item x="782"/>
        <item x="116"/>
        <item x="664"/>
        <item x="688"/>
        <item x="781"/>
        <item x="817"/>
        <item x="483"/>
        <item x="78"/>
        <item x="443"/>
        <item x="745"/>
        <item x="642"/>
        <item x="535"/>
        <item x="627"/>
        <item x="86"/>
        <item x="289"/>
        <item x="18"/>
        <item x="206"/>
        <item x="207"/>
        <item x="626"/>
        <item x="512"/>
        <item x="305"/>
        <item x="140"/>
        <item x="121"/>
        <item x="64"/>
        <item x="730"/>
        <item x="252"/>
        <item x="487"/>
        <item x="806"/>
        <item x="319"/>
        <item x="260"/>
        <item x="528"/>
        <item x="142"/>
        <item x="816"/>
        <item x="329"/>
        <item x="91"/>
        <item x="746"/>
        <item x="741"/>
        <item x="761"/>
        <item x="618"/>
        <item x="189"/>
        <item x="800"/>
        <item x="668"/>
        <item x="287"/>
        <item x="149"/>
        <item x="245"/>
        <item x="331"/>
        <item x="854"/>
        <item x="105"/>
        <item x="657"/>
        <item x="793"/>
        <item x="451"/>
        <item x="566"/>
        <item x="638"/>
        <item x="676"/>
        <item x="750"/>
        <item x="190"/>
        <item x="583"/>
        <item x="58"/>
        <item x="15"/>
        <item x="783"/>
        <item x="599"/>
        <item x="294"/>
        <item x="598"/>
        <item x="153"/>
        <item x="334"/>
        <item x="620"/>
        <item x="108"/>
        <item x="720"/>
        <item x="202"/>
        <item x="672"/>
        <item x="623"/>
        <item x="768"/>
        <item x="543"/>
        <item x="361"/>
        <item x="584"/>
        <item x="275"/>
        <item x="156"/>
        <item x="326"/>
        <item x="775"/>
        <item x="675"/>
        <item x="586"/>
        <item x="54"/>
        <item x="614"/>
        <item x="109"/>
        <item x="438"/>
        <item x="804"/>
        <item x="728"/>
        <item x="449"/>
        <item x="536"/>
        <item x="154"/>
        <item x="228"/>
        <item x="88"/>
        <item x="28"/>
        <item x="500"/>
        <item x="388"/>
        <item x="789"/>
        <item x="327"/>
        <item x="870"/>
        <item x="175"/>
        <item x="508"/>
        <item x="607"/>
        <item x="852"/>
        <item x="311"/>
        <item x="24"/>
        <item x="809"/>
        <item x="712"/>
        <item x="461"/>
        <item x="236"/>
        <item x="383"/>
        <item x="380"/>
        <item x="135"/>
        <item x="308"/>
        <item x="276"/>
        <item x="458"/>
        <item x="696"/>
        <item x="278"/>
        <item x="690"/>
        <item x="402"/>
        <item x="479"/>
        <item x="117"/>
        <item x="99"/>
        <item x="40"/>
        <item x="435"/>
        <item x="576"/>
        <item x="429"/>
        <item x="764"/>
        <item x="812"/>
        <item x="844"/>
        <item x="658"/>
        <item x="159"/>
        <item x="94"/>
        <item x="48"/>
        <item x="193"/>
        <item x="570"/>
        <item x="568"/>
        <item x="613"/>
        <item x="89"/>
        <item x="431"/>
        <item x="585"/>
        <item x="288"/>
        <item x="466"/>
        <item x="681"/>
        <item x="284"/>
        <item x="474"/>
        <item x="115"/>
        <item x="529"/>
        <item x="464"/>
        <item x="769"/>
        <item x="328"/>
        <item x="815"/>
        <item x="75"/>
        <item x="33"/>
        <item x="37"/>
        <item x="587"/>
        <item x="670"/>
        <item x="549"/>
        <item x="348"/>
        <item x="580"/>
        <item x="199"/>
        <item x="699"/>
        <item x="266"/>
        <item x="444"/>
        <item x="501"/>
        <item x="574"/>
        <item x="50"/>
        <item x="459"/>
        <item x="467"/>
        <item x="541"/>
        <item x="167"/>
        <item x="272"/>
        <item x="134"/>
        <item x="488"/>
        <item x="397"/>
        <item x="666"/>
        <item x="375"/>
        <item x="215"/>
        <item x="857"/>
        <item x="711"/>
        <item x="76"/>
        <item x="204"/>
        <item x="133"/>
        <item x="732"/>
        <item x="416"/>
        <item x="478"/>
        <item x="462"/>
        <item x="628"/>
        <item x="409"/>
        <item x="820"/>
        <item x="861"/>
        <item x="725"/>
        <item x="337"/>
        <item x="516"/>
        <item x="662"/>
        <item x="455"/>
        <item x="368"/>
        <item x="833"/>
        <item x="120"/>
        <item x="158"/>
        <item x="517"/>
        <item x="356"/>
        <item x="6"/>
        <item x="341"/>
        <item x="579"/>
        <item x="197"/>
        <item x="366"/>
        <item x="717"/>
        <item x="602"/>
        <item x="352"/>
        <item x="848"/>
        <item x="103"/>
        <item x="218"/>
        <item x="393"/>
        <item x="689"/>
        <item x="419"/>
        <item x="10"/>
        <item x="661"/>
        <item x="45"/>
        <item x="17"/>
        <item x="52"/>
        <item x="453"/>
        <item x="271"/>
        <item x="617"/>
        <item x="751"/>
        <item x="774"/>
        <item x="708"/>
        <item x="771"/>
        <item x="130"/>
        <item x="858"/>
        <item x="216"/>
        <item x="227"/>
        <item x="819"/>
        <item x="559"/>
        <item x="701"/>
        <item x="496"/>
        <item x="342"/>
        <item x="183"/>
        <item x="640"/>
        <item x="30"/>
        <item x="798"/>
        <item x="112"/>
        <item x="421"/>
        <item x="441"/>
        <item x="279"/>
        <item x="494"/>
        <item x="862"/>
        <item x="141"/>
        <item x="663"/>
        <item x="313"/>
        <item x="107"/>
        <item x="481"/>
        <item x="201"/>
        <item x="456"/>
        <item x="235"/>
        <item x="707"/>
        <item x="246"/>
        <item x="660"/>
        <item x="51"/>
        <item x="123"/>
        <item x="463"/>
        <item x="155"/>
        <item x="87"/>
        <item x="573"/>
        <item x="490"/>
        <item x="122"/>
        <item x="219"/>
        <item x="749"/>
        <item x="742"/>
        <item x="25"/>
        <item x="827"/>
        <item x="408"/>
        <item x="318"/>
        <item x="537"/>
        <item x="595"/>
        <item x="714"/>
        <item x="795"/>
        <item x="34"/>
        <item x="590"/>
        <item x="727"/>
        <item x="233"/>
        <item x="256"/>
        <item x="493"/>
        <item x="791"/>
        <item x="669"/>
        <item x="238"/>
        <item x="306"/>
        <item x="492"/>
        <item x="499"/>
        <item x="242"/>
        <item x="285"/>
        <item x="527"/>
        <item x="253"/>
        <item x="542"/>
        <item x="339"/>
        <item x="343"/>
        <item x="851"/>
        <item x="324"/>
        <item x="632"/>
        <item x="729"/>
        <item x="60"/>
        <item x="286"/>
        <item x="389"/>
        <item x="843"/>
        <item x="42"/>
        <item x="519"/>
        <item x="417"/>
        <item x="44"/>
        <item x="411"/>
        <item x="434"/>
        <item x="477"/>
        <item x="69"/>
        <item x="777"/>
        <item x="636"/>
        <item x="423"/>
        <item x="653"/>
        <item x="744"/>
        <item x="510"/>
        <item x="801"/>
        <item x="792"/>
        <item x="853"/>
        <item x="277"/>
        <item x="687"/>
        <item x="145"/>
        <item x="283"/>
        <item x="390"/>
        <item x="522"/>
        <item x="232"/>
        <item x="506"/>
        <item x="840"/>
        <item x="521"/>
        <item x="13"/>
        <item x="665"/>
        <item x="396"/>
        <item x="622"/>
        <item x="659"/>
        <item x="102"/>
        <item x="824"/>
        <item x="194"/>
        <item x="281"/>
        <item x="704"/>
        <item x="413"/>
        <item x="222"/>
        <item x="550"/>
        <item x="511"/>
        <item x="372"/>
        <item x="498"/>
        <item x="182"/>
        <item x="186"/>
        <item x="384"/>
        <item x="794"/>
        <item x="317"/>
        <item x="724"/>
        <item x="433"/>
        <item x="582"/>
        <item x="631"/>
        <item x="270"/>
        <item x="802"/>
        <item x="129"/>
        <item x="65"/>
        <item x="758"/>
        <item x="480"/>
        <item x="23"/>
        <item x="72"/>
        <item x="790"/>
        <item x="367"/>
        <item x="387"/>
        <item x="171"/>
        <item x="538"/>
        <item x="805"/>
        <item x="424"/>
        <item x="785"/>
        <item x="706"/>
        <item x="1"/>
        <item x="526"/>
        <item x="19"/>
        <item x="611"/>
        <item x="401"/>
        <item x="169"/>
        <item x="47"/>
        <item x="454"/>
        <item x="62"/>
        <item x="180"/>
        <item x="208"/>
        <item x="391"/>
        <item x="524"/>
        <item x="73"/>
        <item x="292"/>
        <item x="834"/>
        <item x="710"/>
        <item x="114"/>
        <item x="486"/>
        <item x="160"/>
        <item x="747"/>
        <item x="280"/>
        <item x="846"/>
        <item x="268"/>
        <item x="261"/>
        <item x="386"/>
        <item x="520"/>
        <item x="298"/>
        <item x="755"/>
        <item x="753"/>
        <item x="300"/>
        <item x="619"/>
        <item x="784"/>
        <item x="176"/>
        <item x="557"/>
        <item x="21"/>
        <item x="100"/>
        <item x="110"/>
        <item x="265"/>
        <item x="821"/>
        <item x="27"/>
        <item x="80"/>
        <item x="721"/>
        <item x="250"/>
        <item x="70"/>
        <item x="671"/>
        <item x="849"/>
        <item x="427"/>
        <item x="684"/>
        <item x="84"/>
        <item x="593"/>
        <item x="837"/>
        <item x="644"/>
        <item x="82"/>
        <item x="796"/>
        <item x="825"/>
        <item x="360"/>
        <item x="370"/>
        <item x="373"/>
        <item x="460"/>
        <item x="293"/>
        <item x="465"/>
        <item x="346"/>
        <item t="default"/>
      </items>
    </pivotField>
    <pivotField showAll="0"/>
    <pivotField showAll="0"/>
    <pivotField showAll="0"/>
    <pivotField dataField="1" showAll="0">
      <items count="3">
        <item x="1"/>
        <item x="0"/>
        <item t="default"/>
      </items>
    </pivotField>
    <pivotField showAll="0">
      <items count="7">
        <item x="2"/>
        <item x="0"/>
        <item x="1"/>
        <item x="5"/>
        <item x="3"/>
        <item x="4"/>
        <item t="default"/>
      </items>
    </pivotField>
    <pivotField showAll="0"/>
    <pivotField showAll="0"/>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1"/>
  </rowFields>
  <rowItems count="3">
    <i>
      <x/>
    </i>
    <i>
      <x v="1"/>
    </i>
    <i t="grand">
      <x/>
    </i>
  </rowItems>
  <colItems count="1">
    <i/>
  </colItems>
  <dataFields count="1">
    <dataField name="Duration Time %" fld="10" subtotal="count"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8A3416-3B6F-4351-BA76-4CDD50ABCFB9}" name="Total_Views" cacheId="0"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Ratings">
  <location ref="G13:G14" firstHeaderRow="1" firstDataRow="1" firstDataCol="0"/>
  <pivotFields count="19">
    <pivotField showAll="0"/>
    <pivotField showAll="0">
      <items count="3">
        <item x="1"/>
        <item x="0"/>
        <item t="default"/>
      </items>
    </pivotField>
    <pivotField showAll="0"/>
    <pivotField showAll="0"/>
    <pivotField showAll="0"/>
    <pivotField showAll="0">
      <items count="9">
        <item x="2"/>
        <item x="5"/>
        <item x="4"/>
        <item x="6"/>
        <item x="0"/>
        <item x="1"/>
        <item x="3"/>
        <item x="7"/>
        <item t="default"/>
      </items>
    </pivotField>
    <pivotField numFmtId="14" showAll="0">
      <items count="872">
        <item x="165"/>
        <item x="703"/>
        <item x="531"/>
        <item x="79"/>
        <item x="224"/>
        <item x="604"/>
        <item x="779"/>
        <item x="756"/>
        <item x="682"/>
        <item x="716"/>
        <item x="46"/>
        <item x="172"/>
        <item x="558"/>
        <item x="203"/>
        <item x="39"/>
        <item x="296"/>
        <item x="555"/>
        <item x="763"/>
        <item x="649"/>
        <item x="263"/>
        <item x="303"/>
        <item x="330"/>
        <item x="16"/>
        <item x="605"/>
        <item x="654"/>
        <item x="581"/>
        <item x="639"/>
        <item x="422"/>
        <item x="835"/>
        <item x="799"/>
        <item x="469"/>
        <item x="868"/>
        <item x="680"/>
        <item x="533"/>
        <item x="452"/>
        <item x="839"/>
        <item x="418"/>
        <item x="138"/>
        <item x="600"/>
        <item x="778"/>
        <item x="856"/>
        <item x="603"/>
        <item x="565"/>
        <item x="147"/>
        <item x="546"/>
        <item x="239"/>
        <item x="625"/>
        <item x="577"/>
        <item x="382"/>
        <item x="22"/>
        <item x="264"/>
        <item x="502"/>
        <item x="258"/>
        <item x="351"/>
        <item x="237"/>
        <item x="425"/>
        <item x="563"/>
        <item x="412"/>
        <item x="211"/>
        <item x="11"/>
        <item x="223"/>
        <item x="829"/>
        <item x="254"/>
        <item x="863"/>
        <item x="229"/>
        <item x="448"/>
        <item x="173"/>
        <item x="379"/>
        <item x="325"/>
        <item x="267"/>
        <item x="544"/>
        <item x="131"/>
        <item x="310"/>
        <item x="332"/>
        <item x="564"/>
        <item x="291"/>
        <item x="637"/>
        <item x="575"/>
        <item x="571"/>
        <item x="836"/>
        <item x="221"/>
        <item x="552"/>
        <item x="350"/>
        <item x="505"/>
        <item x="470"/>
        <item x="395"/>
        <item x="719"/>
        <item x="59"/>
        <item x="767"/>
        <item x="161"/>
        <item x="624"/>
        <item x="381"/>
        <item x="251"/>
        <item x="679"/>
        <item x="406"/>
        <item x="77"/>
        <item x="56"/>
        <item x="354"/>
        <item x="772"/>
        <item x="813"/>
        <item x="152"/>
        <item x="124"/>
        <item x="442"/>
        <item x="74"/>
        <item x="61"/>
        <item x="838"/>
        <item x="667"/>
        <item x="139"/>
        <item x="225"/>
        <item x="606"/>
        <item x="179"/>
        <item x="191"/>
        <item x="12"/>
        <item x="345"/>
        <item x="683"/>
        <item x="304"/>
        <item x="591"/>
        <item x="691"/>
        <item x="170"/>
        <item x="733"/>
        <item x="635"/>
        <item x="548"/>
        <item x="4"/>
        <item x="168"/>
        <item x="471"/>
        <item x="67"/>
        <item x="57"/>
        <item x="178"/>
        <item x="678"/>
        <item x="650"/>
        <item x="90"/>
        <item x="405"/>
        <item x="146"/>
        <item x="181"/>
        <item x="240"/>
        <item x="362"/>
        <item x="0"/>
        <item x="118"/>
        <item x="104"/>
        <item x="760"/>
        <item x="504"/>
        <item x="601"/>
        <item x="31"/>
        <item x="143"/>
        <item x="752"/>
        <item x="399"/>
        <item x="3"/>
        <item x="735"/>
        <item x="426"/>
        <item x="198"/>
        <item x="648"/>
        <item x="150"/>
        <item x="828"/>
        <item x="597"/>
        <item x="592"/>
        <item x="98"/>
        <item x="766"/>
        <item x="336"/>
        <item x="608"/>
        <item x="588"/>
        <item x="630"/>
        <item x="485"/>
        <item x="299"/>
        <item x="363"/>
        <item x="428"/>
        <item x="693"/>
        <item x="377"/>
        <item x="309"/>
        <item x="651"/>
        <item x="322"/>
        <item x="556"/>
        <item x="645"/>
        <item x="83"/>
        <item x="185"/>
        <item x="214"/>
        <item x="482"/>
        <item x="641"/>
        <item x="295"/>
        <item x="810"/>
        <item x="371"/>
        <item x="340"/>
        <item x="578"/>
        <item x="551"/>
        <item x="359"/>
        <item x="695"/>
        <item x="709"/>
        <item x="63"/>
        <item x="307"/>
        <item x="722"/>
        <item x="446"/>
        <item x="8"/>
        <item x="736"/>
        <item x="365"/>
        <item x="36"/>
        <item x="259"/>
        <item x="491"/>
        <item x="436"/>
        <item x="290"/>
        <item x="864"/>
        <item x="842"/>
        <item x="773"/>
        <item x="127"/>
        <item x="847"/>
        <item x="231"/>
        <item x="567"/>
        <item x="737"/>
        <item x="713"/>
        <item x="71"/>
        <item x="715"/>
        <item x="136"/>
        <item x="162"/>
        <item x="400"/>
        <item x="739"/>
        <item x="731"/>
        <item x="841"/>
        <item x="392"/>
        <item x="786"/>
        <item x="187"/>
        <item x="315"/>
        <item x="589"/>
        <item x="646"/>
        <item x="410"/>
        <item x="255"/>
        <item x="503"/>
        <item x="472"/>
        <item x="686"/>
        <item x="210"/>
        <item x="196"/>
        <item x="673"/>
        <item x="126"/>
        <item x="248"/>
        <item x="867"/>
        <item x="166"/>
        <item x="547"/>
        <item x="484"/>
        <item x="357"/>
        <item x="374"/>
        <item x="249"/>
        <item x="612"/>
        <item x="195"/>
        <item x="132"/>
        <item x="450"/>
        <item x="594"/>
        <item x="5"/>
        <item x="113"/>
        <item x="321"/>
        <item x="200"/>
        <item x="97"/>
        <item x="822"/>
        <item x="818"/>
        <item x="85"/>
        <item x="38"/>
        <item x="32"/>
        <item x="41"/>
        <item x="355"/>
        <item x="353"/>
        <item x="698"/>
        <item x="53"/>
        <item x="513"/>
        <item x="797"/>
        <item x="247"/>
        <item x="652"/>
        <item x="495"/>
        <item x="677"/>
        <item x="445"/>
        <item x="323"/>
        <item x="125"/>
        <item x="859"/>
        <item x="830"/>
        <item x="759"/>
        <item x="523"/>
        <item x="338"/>
        <item x="457"/>
        <item x="398"/>
        <item x="95"/>
        <item x="514"/>
        <item x="415"/>
        <item x="615"/>
        <item x="174"/>
        <item x="610"/>
        <item x="832"/>
        <item x="93"/>
        <item x="177"/>
        <item x="609"/>
        <item x="629"/>
        <item x="787"/>
        <item x="335"/>
        <item x="312"/>
        <item x="14"/>
        <item x="540"/>
        <item x="866"/>
        <item x="700"/>
        <item x="596"/>
        <item x="803"/>
        <item x="2"/>
        <item x="811"/>
        <item x="407"/>
        <item x="369"/>
        <item x="385"/>
        <item x="333"/>
        <item x="217"/>
        <item x="316"/>
        <item x="507"/>
        <item x="740"/>
        <item x="257"/>
        <item x="157"/>
        <item x="770"/>
        <item x="748"/>
        <item x="244"/>
        <item x="476"/>
        <item x="569"/>
        <item x="394"/>
        <item x="845"/>
        <item x="860"/>
        <item x="788"/>
        <item x="209"/>
        <item x="144"/>
        <item x="757"/>
        <item x="274"/>
        <item x="869"/>
        <item x="515"/>
        <item x="723"/>
        <item x="562"/>
        <item x="437"/>
        <item x="734"/>
        <item x="9"/>
        <item x="262"/>
        <item x="534"/>
        <item x="560"/>
        <item x="539"/>
        <item x="468"/>
        <item x="404"/>
        <item x="692"/>
        <item x="92"/>
        <item x="192"/>
        <item x="226"/>
        <item x="718"/>
        <item x="865"/>
        <item x="826"/>
        <item x="831"/>
        <item x="43"/>
        <item x="269"/>
        <item x="213"/>
        <item x="241"/>
        <item x="26"/>
        <item x="776"/>
        <item x="358"/>
        <item x="184"/>
        <item x="808"/>
        <item x="655"/>
        <item x="243"/>
        <item x="128"/>
        <item x="553"/>
        <item x="7"/>
        <item x="205"/>
        <item x="561"/>
        <item x="525"/>
        <item x="119"/>
        <item x="96"/>
        <item x="572"/>
        <item x="282"/>
        <item x="439"/>
        <item x="273"/>
        <item x="780"/>
        <item x="545"/>
        <item x="164"/>
        <item x="148"/>
        <item x="314"/>
        <item x="20"/>
        <item x="151"/>
        <item x="188"/>
        <item x="364"/>
        <item x="621"/>
        <item x="656"/>
        <item x="726"/>
        <item x="344"/>
        <item x="29"/>
        <item x="705"/>
        <item x="634"/>
        <item x="432"/>
        <item x="49"/>
        <item x="403"/>
        <item x="55"/>
        <item x="414"/>
        <item x="35"/>
        <item x="697"/>
        <item x="554"/>
        <item x="754"/>
        <item x="234"/>
        <item x="349"/>
        <item x="489"/>
        <item x="302"/>
        <item x="378"/>
        <item x="320"/>
        <item x="850"/>
        <item x="440"/>
        <item x="163"/>
        <item x="702"/>
        <item x="106"/>
        <item x="743"/>
        <item x="738"/>
        <item x="633"/>
        <item x="823"/>
        <item x="855"/>
        <item x="447"/>
        <item x="301"/>
        <item x="220"/>
        <item x="509"/>
        <item x="420"/>
        <item x="68"/>
        <item x="643"/>
        <item x="111"/>
        <item x="297"/>
        <item x="475"/>
        <item x="101"/>
        <item x="674"/>
        <item x="694"/>
        <item x="212"/>
        <item x="530"/>
        <item x="137"/>
        <item x="66"/>
        <item x="497"/>
        <item x="518"/>
        <item x="376"/>
        <item x="81"/>
        <item x="807"/>
        <item x="814"/>
        <item x="430"/>
        <item x="765"/>
        <item x="347"/>
        <item x="762"/>
        <item x="685"/>
        <item x="616"/>
        <item x="473"/>
        <item x="647"/>
        <item x="230"/>
        <item x="532"/>
        <item x="782"/>
        <item x="116"/>
        <item x="664"/>
        <item x="688"/>
        <item x="781"/>
        <item x="817"/>
        <item x="483"/>
        <item x="78"/>
        <item x="443"/>
        <item x="745"/>
        <item x="642"/>
        <item x="535"/>
        <item x="627"/>
        <item x="86"/>
        <item x="289"/>
        <item x="18"/>
        <item x="206"/>
        <item x="207"/>
        <item x="626"/>
        <item x="512"/>
        <item x="305"/>
        <item x="140"/>
        <item x="121"/>
        <item x="64"/>
        <item x="730"/>
        <item x="252"/>
        <item x="487"/>
        <item x="806"/>
        <item x="319"/>
        <item x="260"/>
        <item x="528"/>
        <item x="142"/>
        <item x="816"/>
        <item x="329"/>
        <item x="91"/>
        <item x="746"/>
        <item x="741"/>
        <item x="761"/>
        <item x="618"/>
        <item x="189"/>
        <item x="800"/>
        <item x="668"/>
        <item x="287"/>
        <item x="149"/>
        <item x="245"/>
        <item x="331"/>
        <item x="854"/>
        <item x="105"/>
        <item x="657"/>
        <item x="793"/>
        <item x="451"/>
        <item x="566"/>
        <item x="638"/>
        <item x="676"/>
        <item x="750"/>
        <item x="190"/>
        <item x="583"/>
        <item x="58"/>
        <item x="15"/>
        <item x="783"/>
        <item x="599"/>
        <item x="294"/>
        <item x="598"/>
        <item x="153"/>
        <item x="334"/>
        <item x="620"/>
        <item x="108"/>
        <item x="720"/>
        <item x="202"/>
        <item x="672"/>
        <item x="623"/>
        <item x="768"/>
        <item x="543"/>
        <item x="361"/>
        <item x="584"/>
        <item x="275"/>
        <item x="156"/>
        <item x="326"/>
        <item x="775"/>
        <item x="675"/>
        <item x="586"/>
        <item x="54"/>
        <item x="614"/>
        <item x="109"/>
        <item x="438"/>
        <item x="804"/>
        <item x="728"/>
        <item x="449"/>
        <item x="536"/>
        <item x="154"/>
        <item x="228"/>
        <item x="88"/>
        <item x="28"/>
        <item x="500"/>
        <item x="388"/>
        <item x="789"/>
        <item x="327"/>
        <item x="870"/>
        <item x="175"/>
        <item x="508"/>
        <item x="607"/>
        <item x="852"/>
        <item x="311"/>
        <item x="24"/>
        <item x="809"/>
        <item x="712"/>
        <item x="461"/>
        <item x="236"/>
        <item x="383"/>
        <item x="380"/>
        <item x="135"/>
        <item x="308"/>
        <item x="276"/>
        <item x="458"/>
        <item x="696"/>
        <item x="278"/>
        <item x="690"/>
        <item x="402"/>
        <item x="479"/>
        <item x="117"/>
        <item x="99"/>
        <item x="40"/>
        <item x="435"/>
        <item x="576"/>
        <item x="429"/>
        <item x="764"/>
        <item x="812"/>
        <item x="844"/>
        <item x="658"/>
        <item x="159"/>
        <item x="94"/>
        <item x="48"/>
        <item x="193"/>
        <item x="570"/>
        <item x="568"/>
        <item x="613"/>
        <item x="89"/>
        <item x="431"/>
        <item x="585"/>
        <item x="288"/>
        <item x="466"/>
        <item x="681"/>
        <item x="284"/>
        <item x="474"/>
        <item x="115"/>
        <item x="529"/>
        <item x="464"/>
        <item x="769"/>
        <item x="328"/>
        <item x="815"/>
        <item x="75"/>
        <item x="33"/>
        <item x="37"/>
        <item x="587"/>
        <item x="670"/>
        <item x="549"/>
        <item x="348"/>
        <item x="580"/>
        <item x="199"/>
        <item x="699"/>
        <item x="266"/>
        <item x="444"/>
        <item x="501"/>
        <item x="574"/>
        <item x="50"/>
        <item x="459"/>
        <item x="467"/>
        <item x="541"/>
        <item x="167"/>
        <item x="272"/>
        <item x="134"/>
        <item x="488"/>
        <item x="397"/>
        <item x="666"/>
        <item x="375"/>
        <item x="215"/>
        <item x="857"/>
        <item x="711"/>
        <item x="76"/>
        <item x="204"/>
        <item x="133"/>
        <item x="732"/>
        <item x="416"/>
        <item x="478"/>
        <item x="462"/>
        <item x="628"/>
        <item x="409"/>
        <item x="820"/>
        <item x="861"/>
        <item x="725"/>
        <item x="337"/>
        <item x="516"/>
        <item x="662"/>
        <item x="455"/>
        <item x="368"/>
        <item x="833"/>
        <item x="120"/>
        <item x="158"/>
        <item x="517"/>
        <item x="356"/>
        <item x="6"/>
        <item x="341"/>
        <item x="579"/>
        <item x="197"/>
        <item x="366"/>
        <item x="717"/>
        <item x="602"/>
        <item x="352"/>
        <item x="848"/>
        <item x="103"/>
        <item x="218"/>
        <item x="393"/>
        <item x="689"/>
        <item x="419"/>
        <item x="10"/>
        <item x="661"/>
        <item x="45"/>
        <item x="17"/>
        <item x="52"/>
        <item x="453"/>
        <item x="271"/>
        <item x="617"/>
        <item x="751"/>
        <item x="774"/>
        <item x="708"/>
        <item x="771"/>
        <item x="130"/>
        <item x="858"/>
        <item x="216"/>
        <item x="227"/>
        <item x="819"/>
        <item x="559"/>
        <item x="701"/>
        <item x="496"/>
        <item x="342"/>
        <item x="183"/>
        <item x="640"/>
        <item x="30"/>
        <item x="798"/>
        <item x="112"/>
        <item x="421"/>
        <item x="441"/>
        <item x="279"/>
        <item x="494"/>
        <item x="862"/>
        <item x="141"/>
        <item x="663"/>
        <item x="313"/>
        <item x="107"/>
        <item x="481"/>
        <item x="201"/>
        <item x="456"/>
        <item x="235"/>
        <item x="707"/>
        <item x="246"/>
        <item x="660"/>
        <item x="51"/>
        <item x="123"/>
        <item x="463"/>
        <item x="155"/>
        <item x="87"/>
        <item x="573"/>
        <item x="490"/>
        <item x="122"/>
        <item x="219"/>
        <item x="749"/>
        <item x="742"/>
        <item x="25"/>
        <item x="827"/>
        <item x="408"/>
        <item x="318"/>
        <item x="537"/>
        <item x="595"/>
        <item x="714"/>
        <item x="795"/>
        <item x="34"/>
        <item x="590"/>
        <item x="727"/>
        <item x="233"/>
        <item x="256"/>
        <item x="493"/>
        <item x="791"/>
        <item x="669"/>
        <item x="238"/>
        <item x="306"/>
        <item x="492"/>
        <item x="499"/>
        <item x="242"/>
        <item x="285"/>
        <item x="527"/>
        <item x="253"/>
        <item x="542"/>
        <item x="339"/>
        <item x="343"/>
        <item x="851"/>
        <item x="324"/>
        <item x="632"/>
        <item x="729"/>
        <item x="60"/>
        <item x="286"/>
        <item x="389"/>
        <item x="843"/>
        <item x="42"/>
        <item x="519"/>
        <item x="417"/>
        <item x="44"/>
        <item x="411"/>
        <item x="434"/>
        <item x="477"/>
        <item x="69"/>
        <item x="777"/>
        <item x="636"/>
        <item x="423"/>
        <item x="653"/>
        <item x="744"/>
        <item x="510"/>
        <item x="801"/>
        <item x="792"/>
        <item x="853"/>
        <item x="277"/>
        <item x="687"/>
        <item x="145"/>
        <item x="283"/>
        <item x="390"/>
        <item x="522"/>
        <item x="232"/>
        <item x="506"/>
        <item x="840"/>
        <item x="521"/>
        <item x="13"/>
        <item x="665"/>
        <item x="396"/>
        <item x="622"/>
        <item x="659"/>
        <item x="102"/>
        <item x="824"/>
        <item x="194"/>
        <item x="281"/>
        <item x="704"/>
        <item x="413"/>
        <item x="222"/>
        <item x="550"/>
        <item x="511"/>
        <item x="372"/>
        <item x="498"/>
        <item x="182"/>
        <item x="186"/>
        <item x="384"/>
        <item x="794"/>
        <item x="317"/>
        <item x="724"/>
        <item x="433"/>
        <item x="582"/>
        <item x="631"/>
        <item x="270"/>
        <item x="802"/>
        <item x="129"/>
        <item x="65"/>
        <item x="758"/>
        <item x="480"/>
        <item x="23"/>
        <item x="72"/>
        <item x="790"/>
        <item x="367"/>
        <item x="387"/>
        <item x="171"/>
        <item x="538"/>
        <item x="805"/>
        <item x="424"/>
        <item x="785"/>
        <item x="706"/>
        <item x="1"/>
        <item x="526"/>
        <item x="19"/>
        <item x="611"/>
        <item x="401"/>
        <item x="169"/>
        <item x="47"/>
        <item x="454"/>
        <item x="62"/>
        <item x="180"/>
        <item x="208"/>
        <item x="391"/>
        <item x="524"/>
        <item x="73"/>
        <item x="292"/>
        <item x="834"/>
        <item x="710"/>
        <item x="114"/>
        <item x="486"/>
        <item x="160"/>
        <item x="747"/>
        <item x="280"/>
        <item x="846"/>
        <item x="268"/>
        <item x="261"/>
        <item x="386"/>
        <item x="520"/>
        <item x="298"/>
        <item x="755"/>
        <item x="753"/>
        <item x="300"/>
        <item x="619"/>
        <item x="784"/>
        <item x="176"/>
        <item x="557"/>
        <item x="21"/>
        <item x="100"/>
        <item x="110"/>
        <item x="265"/>
        <item x="821"/>
        <item x="27"/>
        <item x="80"/>
        <item x="721"/>
        <item x="250"/>
        <item x="70"/>
        <item x="671"/>
        <item x="849"/>
        <item x="427"/>
        <item x="684"/>
        <item x="84"/>
        <item x="593"/>
        <item x="837"/>
        <item x="644"/>
        <item x="82"/>
        <item x="796"/>
        <item x="825"/>
        <item x="360"/>
        <item x="370"/>
        <item x="373"/>
        <item x="460"/>
        <item x="293"/>
        <item x="465"/>
        <item x="346"/>
        <item t="default"/>
      </items>
    </pivotField>
    <pivotField showAll="0"/>
    <pivotField showAll="0"/>
    <pivotField showAll="0"/>
    <pivotField showAll="0">
      <items count="3">
        <item x="1"/>
        <item x="0"/>
        <item t="default"/>
      </items>
    </pivotField>
    <pivotField showAll="0">
      <items count="7">
        <item x="2"/>
        <item x="0"/>
        <item x="1"/>
        <item x="5"/>
        <item x="3"/>
        <item x="4"/>
        <item t="default"/>
      </items>
    </pivotField>
    <pivotField showAll="0"/>
    <pivotField dataField="1" showAll="0"/>
    <pivotField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2">
        <item sd="0" x="0"/>
        <item sd="0" x="1"/>
        <item sd="0" x="2"/>
        <item sd="0" x="3"/>
        <item sd="0" x="4"/>
        <item sd="0" x="5"/>
        <item sd="0" x="6"/>
        <item sd="0" x="7"/>
        <item sd="0" x="8"/>
        <item sd="0" x="9"/>
        <item sd="0" x="10"/>
        <item t="default"/>
      </items>
    </pivotField>
  </pivotFields>
  <rowItems count="1">
    <i/>
  </rowItems>
  <colItems count="1">
    <i/>
  </colItems>
  <dataFields count="1">
    <dataField name="Total Views" fld="13" baseField="0" baseItem="0" numFmtId="166"/>
  </dataFields>
  <formats count="4">
    <format dxfId="5">
      <pivotArea type="all" dataOnly="0" outline="0" fieldPosition="0"/>
    </format>
    <format dxfId="4">
      <pivotArea outline="0" collapsedLevelsAreSubtotals="1" fieldPosition="0"/>
    </format>
    <format dxfId="3">
      <pivotArea dataOnly="0" labelOnly="1" outline="0" axis="axisValues" fieldPosition="0"/>
    </format>
    <format dxfId="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45F2B2-0745-44AD-9906-D7D43E31E9A2}" name="Total_Views_By_Genr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Genres">
  <location ref="X13:Y20" firstHeaderRow="1" firstDataRow="1" firstDataCol="1"/>
  <pivotFields count="19">
    <pivotField showAll="0"/>
    <pivotField showAll="0">
      <items count="3">
        <item x="1"/>
        <item x="0"/>
        <item t="default"/>
      </items>
    </pivotField>
    <pivotField showAll="0"/>
    <pivotField showAll="0"/>
    <pivotField showAll="0"/>
    <pivotField showAll="0">
      <items count="9">
        <item x="2"/>
        <item x="5"/>
        <item x="4"/>
        <item x="6"/>
        <item x="0"/>
        <item x="1"/>
        <item x="3"/>
        <item x="7"/>
        <item t="default"/>
      </items>
    </pivotField>
    <pivotField numFmtId="14" showAll="0">
      <items count="872">
        <item x="165"/>
        <item x="703"/>
        <item x="531"/>
        <item x="79"/>
        <item x="224"/>
        <item x="604"/>
        <item x="779"/>
        <item x="756"/>
        <item x="682"/>
        <item x="716"/>
        <item x="46"/>
        <item x="172"/>
        <item x="558"/>
        <item x="203"/>
        <item x="39"/>
        <item x="296"/>
        <item x="555"/>
        <item x="763"/>
        <item x="649"/>
        <item x="263"/>
        <item x="303"/>
        <item x="330"/>
        <item x="16"/>
        <item x="605"/>
        <item x="654"/>
        <item x="581"/>
        <item x="639"/>
        <item x="422"/>
        <item x="835"/>
        <item x="799"/>
        <item x="469"/>
        <item x="868"/>
        <item x="680"/>
        <item x="533"/>
        <item x="452"/>
        <item x="839"/>
        <item x="418"/>
        <item x="138"/>
        <item x="600"/>
        <item x="778"/>
        <item x="856"/>
        <item x="603"/>
        <item x="565"/>
        <item x="147"/>
        <item x="546"/>
        <item x="239"/>
        <item x="625"/>
        <item x="577"/>
        <item x="382"/>
        <item x="22"/>
        <item x="264"/>
        <item x="502"/>
        <item x="258"/>
        <item x="351"/>
        <item x="237"/>
        <item x="425"/>
        <item x="563"/>
        <item x="412"/>
        <item x="211"/>
        <item x="11"/>
        <item x="223"/>
        <item x="829"/>
        <item x="254"/>
        <item x="863"/>
        <item x="229"/>
        <item x="448"/>
        <item x="173"/>
        <item x="379"/>
        <item x="325"/>
        <item x="267"/>
        <item x="544"/>
        <item x="131"/>
        <item x="310"/>
        <item x="332"/>
        <item x="564"/>
        <item x="291"/>
        <item x="637"/>
        <item x="575"/>
        <item x="571"/>
        <item x="836"/>
        <item x="221"/>
        <item x="552"/>
        <item x="350"/>
        <item x="505"/>
        <item x="470"/>
        <item x="395"/>
        <item x="719"/>
        <item x="59"/>
        <item x="767"/>
        <item x="161"/>
        <item x="624"/>
        <item x="381"/>
        <item x="251"/>
        <item x="679"/>
        <item x="406"/>
        <item x="77"/>
        <item x="56"/>
        <item x="354"/>
        <item x="772"/>
        <item x="813"/>
        <item x="152"/>
        <item x="124"/>
        <item x="442"/>
        <item x="74"/>
        <item x="61"/>
        <item x="838"/>
        <item x="667"/>
        <item x="139"/>
        <item x="225"/>
        <item x="606"/>
        <item x="179"/>
        <item x="191"/>
        <item x="12"/>
        <item x="345"/>
        <item x="683"/>
        <item x="304"/>
        <item x="591"/>
        <item x="691"/>
        <item x="170"/>
        <item x="733"/>
        <item x="635"/>
        <item x="548"/>
        <item x="4"/>
        <item x="168"/>
        <item x="471"/>
        <item x="67"/>
        <item x="57"/>
        <item x="178"/>
        <item x="678"/>
        <item x="650"/>
        <item x="90"/>
        <item x="405"/>
        <item x="146"/>
        <item x="181"/>
        <item x="240"/>
        <item x="362"/>
        <item x="0"/>
        <item x="118"/>
        <item x="104"/>
        <item x="760"/>
        <item x="504"/>
        <item x="601"/>
        <item x="31"/>
        <item x="143"/>
        <item x="752"/>
        <item x="399"/>
        <item x="3"/>
        <item x="735"/>
        <item x="426"/>
        <item x="198"/>
        <item x="648"/>
        <item x="150"/>
        <item x="828"/>
        <item x="597"/>
        <item x="592"/>
        <item x="98"/>
        <item x="766"/>
        <item x="336"/>
        <item x="608"/>
        <item x="588"/>
        <item x="630"/>
        <item x="485"/>
        <item x="299"/>
        <item x="363"/>
        <item x="428"/>
        <item x="693"/>
        <item x="377"/>
        <item x="309"/>
        <item x="651"/>
        <item x="322"/>
        <item x="556"/>
        <item x="645"/>
        <item x="83"/>
        <item x="185"/>
        <item x="214"/>
        <item x="482"/>
        <item x="641"/>
        <item x="295"/>
        <item x="810"/>
        <item x="371"/>
        <item x="340"/>
        <item x="578"/>
        <item x="551"/>
        <item x="359"/>
        <item x="695"/>
        <item x="709"/>
        <item x="63"/>
        <item x="307"/>
        <item x="722"/>
        <item x="446"/>
        <item x="8"/>
        <item x="736"/>
        <item x="365"/>
        <item x="36"/>
        <item x="259"/>
        <item x="491"/>
        <item x="436"/>
        <item x="290"/>
        <item x="864"/>
        <item x="842"/>
        <item x="773"/>
        <item x="127"/>
        <item x="847"/>
        <item x="231"/>
        <item x="567"/>
        <item x="737"/>
        <item x="713"/>
        <item x="71"/>
        <item x="715"/>
        <item x="136"/>
        <item x="162"/>
        <item x="400"/>
        <item x="739"/>
        <item x="731"/>
        <item x="841"/>
        <item x="392"/>
        <item x="786"/>
        <item x="187"/>
        <item x="315"/>
        <item x="589"/>
        <item x="646"/>
        <item x="410"/>
        <item x="255"/>
        <item x="503"/>
        <item x="472"/>
        <item x="686"/>
        <item x="210"/>
        <item x="196"/>
        <item x="673"/>
        <item x="126"/>
        <item x="248"/>
        <item x="867"/>
        <item x="166"/>
        <item x="547"/>
        <item x="484"/>
        <item x="357"/>
        <item x="374"/>
        <item x="249"/>
        <item x="612"/>
        <item x="195"/>
        <item x="132"/>
        <item x="450"/>
        <item x="594"/>
        <item x="5"/>
        <item x="113"/>
        <item x="321"/>
        <item x="200"/>
        <item x="97"/>
        <item x="822"/>
        <item x="818"/>
        <item x="85"/>
        <item x="38"/>
        <item x="32"/>
        <item x="41"/>
        <item x="355"/>
        <item x="353"/>
        <item x="698"/>
        <item x="53"/>
        <item x="513"/>
        <item x="797"/>
        <item x="247"/>
        <item x="652"/>
        <item x="495"/>
        <item x="677"/>
        <item x="445"/>
        <item x="323"/>
        <item x="125"/>
        <item x="859"/>
        <item x="830"/>
        <item x="759"/>
        <item x="523"/>
        <item x="338"/>
        <item x="457"/>
        <item x="398"/>
        <item x="95"/>
        <item x="514"/>
        <item x="415"/>
        <item x="615"/>
        <item x="174"/>
        <item x="610"/>
        <item x="832"/>
        <item x="93"/>
        <item x="177"/>
        <item x="609"/>
        <item x="629"/>
        <item x="787"/>
        <item x="335"/>
        <item x="312"/>
        <item x="14"/>
        <item x="540"/>
        <item x="866"/>
        <item x="700"/>
        <item x="596"/>
        <item x="803"/>
        <item x="2"/>
        <item x="811"/>
        <item x="407"/>
        <item x="369"/>
        <item x="385"/>
        <item x="333"/>
        <item x="217"/>
        <item x="316"/>
        <item x="507"/>
        <item x="740"/>
        <item x="257"/>
        <item x="157"/>
        <item x="770"/>
        <item x="748"/>
        <item x="244"/>
        <item x="476"/>
        <item x="569"/>
        <item x="394"/>
        <item x="845"/>
        <item x="860"/>
        <item x="788"/>
        <item x="209"/>
        <item x="144"/>
        <item x="757"/>
        <item x="274"/>
        <item x="869"/>
        <item x="515"/>
        <item x="723"/>
        <item x="562"/>
        <item x="437"/>
        <item x="734"/>
        <item x="9"/>
        <item x="262"/>
        <item x="534"/>
        <item x="560"/>
        <item x="539"/>
        <item x="468"/>
        <item x="404"/>
        <item x="692"/>
        <item x="92"/>
        <item x="192"/>
        <item x="226"/>
        <item x="718"/>
        <item x="865"/>
        <item x="826"/>
        <item x="831"/>
        <item x="43"/>
        <item x="269"/>
        <item x="213"/>
        <item x="241"/>
        <item x="26"/>
        <item x="776"/>
        <item x="358"/>
        <item x="184"/>
        <item x="808"/>
        <item x="655"/>
        <item x="243"/>
        <item x="128"/>
        <item x="553"/>
        <item x="7"/>
        <item x="205"/>
        <item x="561"/>
        <item x="525"/>
        <item x="119"/>
        <item x="96"/>
        <item x="572"/>
        <item x="282"/>
        <item x="439"/>
        <item x="273"/>
        <item x="780"/>
        <item x="545"/>
        <item x="164"/>
        <item x="148"/>
        <item x="314"/>
        <item x="20"/>
        <item x="151"/>
        <item x="188"/>
        <item x="364"/>
        <item x="621"/>
        <item x="656"/>
        <item x="726"/>
        <item x="344"/>
        <item x="29"/>
        <item x="705"/>
        <item x="634"/>
        <item x="432"/>
        <item x="49"/>
        <item x="403"/>
        <item x="55"/>
        <item x="414"/>
        <item x="35"/>
        <item x="697"/>
        <item x="554"/>
        <item x="754"/>
        <item x="234"/>
        <item x="349"/>
        <item x="489"/>
        <item x="302"/>
        <item x="378"/>
        <item x="320"/>
        <item x="850"/>
        <item x="440"/>
        <item x="163"/>
        <item x="702"/>
        <item x="106"/>
        <item x="743"/>
        <item x="738"/>
        <item x="633"/>
        <item x="823"/>
        <item x="855"/>
        <item x="447"/>
        <item x="301"/>
        <item x="220"/>
        <item x="509"/>
        <item x="420"/>
        <item x="68"/>
        <item x="643"/>
        <item x="111"/>
        <item x="297"/>
        <item x="475"/>
        <item x="101"/>
        <item x="674"/>
        <item x="694"/>
        <item x="212"/>
        <item x="530"/>
        <item x="137"/>
        <item x="66"/>
        <item x="497"/>
        <item x="518"/>
        <item x="376"/>
        <item x="81"/>
        <item x="807"/>
        <item x="814"/>
        <item x="430"/>
        <item x="765"/>
        <item x="347"/>
        <item x="762"/>
        <item x="685"/>
        <item x="616"/>
        <item x="473"/>
        <item x="647"/>
        <item x="230"/>
        <item x="532"/>
        <item x="782"/>
        <item x="116"/>
        <item x="664"/>
        <item x="688"/>
        <item x="781"/>
        <item x="817"/>
        <item x="483"/>
        <item x="78"/>
        <item x="443"/>
        <item x="745"/>
        <item x="642"/>
        <item x="535"/>
        <item x="627"/>
        <item x="86"/>
        <item x="289"/>
        <item x="18"/>
        <item x="206"/>
        <item x="207"/>
        <item x="626"/>
        <item x="512"/>
        <item x="305"/>
        <item x="140"/>
        <item x="121"/>
        <item x="64"/>
        <item x="730"/>
        <item x="252"/>
        <item x="487"/>
        <item x="806"/>
        <item x="319"/>
        <item x="260"/>
        <item x="528"/>
        <item x="142"/>
        <item x="816"/>
        <item x="329"/>
        <item x="91"/>
        <item x="746"/>
        <item x="741"/>
        <item x="761"/>
        <item x="618"/>
        <item x="189"/>
        <item x="800"/>
        <item x="668"/>
        <item x="287"/>
        <item x="149"/>
        <item x="245"/>
        <item x="331"/>
        <item x="854"/>
        <item x="105"/>
        <item x="657"/>
        <item x="793"/>
        <item x="451"/>
        <item x="566"/>
        <item x="638"/>
        <item x="676"/>
        <item x="750"/>
        <item x="190"/>
        <item x="583"/>
        <item x="58"/>
        <item x="15"/>
        <item x="783"/>
        <item x="599"/>
        <item x="294"/>
        <item x="598"/>
        <item x="153"/>
        <item x="334"/>
        <item x="620"/>
        <item x="108"/>
        <item x="720"/>
        <item x="202"/>
        <item x="672"/>
        <item x="623"/>
        <item x="768"/>
        <item x="543"/>
        <item x="361"/>
        <item x="584"/>
        <item x="275"/>
        <item x="156"/>
        <item x="326"/>
        <item x="775"/>
        <item x="675"/>
        <item x="586"/>
        <item x="54"/>
        <item x="614"/>
        <item x="109"/>
        <item x="438"/>
        <item x="804"/>
        <item x="728"/>
        <item x="449"/>
        <item x="536"/>
        <item x="154"/>
        <item x="228"/>
        <item x="88"/>
        <item x="28"/>
        <item x="500"/>
        <item x="388"/>
        <item x="789"/>
        <item x="327"/>
        <item x="870"/>
        <item x="175"/>
        <item x="508"/>
        <item x="607"/>
        <item x="852"/>
        <item x="311"/>
        <item x="24"/>
        <item x="809"/>
        <item x="712"/>
        <item x="461"/>
        <item x="236"/>
        <item x="383"/>
        <item x="380"/>
        <item x="135"/>
        <item x="308"/>
        <item x="276"/>
        <item x="458"/>
        <item x="696"/>
        <item x="278"/>
        <item x="690"/>
        <item x="402"/>
        <item x="479"/>
        <item x="117"/>
        <item x="99"/>
        <item x="40"/>
        <item x="435"/>
        <item x="576"/>
        <item x="429"/>
        <item x="764"/>
        <item x="812"/>
        <item x="844"/>
        <item x="658"/>
        <item x="159"/>
        <item x="94"/>
        <item x="48"/>
        <item x="193"/>
        <item x="570"/>
        <item x="568"/>
        <item x="613"/>
        <item x="89"/>
        <item x="431"/>
        <item x="585"/>
        <item x="288"/>
        <item x="466"/>
        <item x="681"/>
        <item x="284"/>
        <item x="474"/>
        <item x="115"/>
        <item x="529"/>
        <item x="464"/>
        <item x="769"/>
        <item x="328"/>
        <item x="815"/>
        <item x="75"/>
        <item x="33"/>
        <item x="37"/>
        <item x="587"/>
        <item x="670"/>
        <item x="549"/>
        <item x="348"/>
        <item x="580"/>
        <item x="199"/>
        <item x="699"/>
        <item x="266"/>
        <item x="444"/>
        <item x="501"/>
        <item x="574"/>
        <item x="50"/>
        <item x="459"/>
        <item x="467"/>
        <item x="541"/>
        <item x="167"/>
        <item x="272"/>
        <item x="134"/>
        <item x="488"/>
        <item x="397"/>
        <item x="666"/>
        <item x="375"/>
        <item x="215"/>
        <item x="857"/>
        <item x="711"/>
        <item x="76"/>
        <item x="204"/>
        <item x="133"/>
        <item x="732"/>
        <item x="416"/>
        <item x="478"/>
        <item x="462"/>
        <item x="628"/>
        <item x="409"/>
        <item x="820"/>
        <item x="861"/>
        <item x="725"/>
        <item x="337"/>
        <item x="516"/>
        <item x="662"/>
        <item x="455"/>
        <item x="368"/>
        <item x="833"/>
        <item x="120"/>
        <item x="158"/>
        <item x="517"/>
        <item x="356"/>
        <item x="6"/>
        <item x="341"/>
        <item x="579"/>
        <item x="197"/>
        <item x="366"/>
        <item x="717"/>
        <item x="602"/>
        <item x="352"/>
        <item x="848"/>
        <item x="103"/>
        <item x="218"/>
        <item x="393"/>
        <item x="689"/>
        <item x="419"/>
        <item x="10"/>
        <item x="661"/>
        <item x="45"/>
        <item x="17"/>
        <item x="52"/>
        <item x="453"/>
        <item x="271"/>
        <item x="617"/>
        <item x="751"/>
        <item x="774"/>
        <item x="708"/>
        <item x="771"/>
        <item x="130"/>
        <item x="858"/>
        <item x="216"/>
        <item x="227"/>
        <item x="819"/>
        <item x="559"/>
        <item x="701"/>
        <item x="496"/>
        <item x="342"/>
        <item x="183"/>
        <item x="640"/>
        <item x="30"/>
        <item x="798"/>
        <item x="112"/>
        <item x="421"/>
        <item x="441"/>
        <item x="279"/>
        <item x="494"/>
        <item x="862"/>
        <item x="141"/>
        <item x="663"/>
        <item x="313"/>
        <item x="107"/>
        <item x="481"/>
        <item x="201"/>
        <item x="456"/>
        <item x="235"/>
        <item x="707"/>
        <item x="246"/>
        <item x="660"/>
        <item x="51"/>
        <item x="123"/>
        <item x="463"/>
        <item x="155"/>
        <item x="87"/>
        <item x="573"/>
        <item x="490"/>
        <item x="122"/>
        <item x="219"/>
        <item x="749"/>
        <item x="742"/>
        <item x="25"/>
        <item x="827"/>
        <item x="408"/>
        <item x="318"/>
        <item x="537"/>
        <item x="595"/>
        <item x="714"/>
        <item x="795"/>
        <item x="34"/>
        <item x="590"/>
        <item x="727"/>
        <item x="233"/>
        <item x="256"/>
        <item x="493"/>
        <item x="791"/>
        <item x="669"/>
        <item x="238"/>
        <item x="306"/>
        <item x="492"/>
        <item x="499"/>
        <item x="242"/>
        <item x="285"/>
        <item x="527"/>
        <item x="253"/>
        <item x="542"/>
        <item x="339"/>
        <item x="343"/>
        <item x="851"/>
        <item x="324"/>
        <item x="632"/>
        <item x="729"/>
        <item x="60"/>
        <item x="286"/>
        <item x="389"/>
        <item x="843"/>
        <item x="42"/>
        <item x="519"/>
        <item x="417"/>
        <item x="44"/>
        <item x="411"/>
        <item x="434"/>
        <item x="477"/>
        <item x="69"/>
        <item x="777"/>
        <item x="636"/>
        <item x="423"/>
        <item x="653"/>
        <item x="744"/>
        <item x="510"/>
        <item x="801"/>
        <item x="792"/>
        <item x="853"/>
        <item x="277"/>
        <item x="687"/>
        <item x="145"/>
        <item x="283"/>
        <item x="390"/>
        <item x="522"/>
        <item x="232"/>
        <item x="506"/>
        <item x="840"/>
        <item x="521"/>
        <item x="13"/>
        <item x="665"/>
        <item x="396"/>
        <item x="622"/>
        <item x="659"/>
        <item x="102"/>
        <item x="824"/>
        <item x="194"/>
        <item x="281"/>
        <item x="704"/>
        <item x="413"/>
        <item x="222"/>
        <item x="550"/>
        <item x="511"/>
        <item x="372"/>
        <item x="498"/>
        <item x="182"/>
        <item x="186"/>
        <item x="384"/>
        <item x="794"/>
        <item x="317"/>
        <item x="724"/>
        <item x="433"/>
        <item x="582"/>
        <item x="631"/>
        <item x="270"/>
        <item x="802"/>
        <item x="129"/>
        <item x="65"/>
        <item x="758"/>
        <item x="480"/>
        <item x="23"/>
        <item x="72"/>
        <item x="790"/>
        <item x="367"/>
        <item x="387"/>
        <item x="171"/>
        <item x="538"/>
        <item x="805"/>
        <item x="424"/>
        <item x="785"/>
        <item x="706"/>
        <item x="1"/>
        <item x="526"/>
        <item x="19"/>
        <item x="611"/>
        <item x="401"/>
        <item x="169"/>
        <item x="47"/>
        <item x="454"/>
        <item x="62"/>
        <item x="180"/>
        <item x="208"/>
        <item x="391"/>
        <item x="524"/>
        <item x="73"/>
        <item x="292"/>
        <item x="834"/>
        <item x="710"/>
        <item x="114"/>
        <item x="486"/>
        <item x="160"/>
        <item x="747"/>
        <item x="280"/>
        <item x="846"/>
        <item x="268"/>
        <item x="261"/>
        <item x="386"/>
        <item x="520"/>
        <item x="298"/>
        <item x="755"/>
        <item x="753"/>
        <item x="300"/>
        <item x="619"/>
        <item x="784"/>
        <item x="176"/>
        <item x="557"/>
        <item x="21"/>
        <item x="100"/>
        <item x="110"/>
        <item x="265"/>
        <item x="821"/>
        <item x="27"/>
        <item x="80"/>
        <item x="721"/>
        <item x="250"/>
        <item x="70"/>
        <item x="671"/>
        <item x="849"/>
        <item x="427"/>
        <item x="684"/>
        <item x="84"/>
        <item x="593"/>
        <item x="837"/>
        <item x="644"/>
        <item x="82"/>
        <item x="796"/>
        <item x="825"/>
        <item x="360"/>
        <item x="370"/>
        <item x="373"/>
        <item x="460"/>
        <item x="293"/>
        <item x="465"/>
        <item x="346"/>
        <item t="default"/>
      </items>
    </pivotField>
    <pivotField showAll="0"/>
    <pivotField showAll="0"/>
    <pivotField showAll="0"/>
    <pivotField showAll="0">
      <items count="3">
        <item x="1"/>
        <item x="0"/>
        <item t="default"/>
      </items>
    </pivotField>
    <pivotField axis="axisRow" showAll="0" sortType="descending">
      <items count="7">
        <item x="2"/>
        <item x="0"/>
        <item x="1"/>
        <item x="5"/>
        <item x="3"/>
        <item x="4"/>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2">
        <item sd="0" x="0"/>
        <item sd="0" x="1"/>
        <item sd="0" x="2"/>
        <item sd="0" x="3"/>
        <item sd="0" x="4"/>
        <item sd="0" x="5"/>
        <item sd="0" x="6"/>
        <item sd="0" x="7"/>
        <item sd="0" x="8"/>
        <item sd="0" x="9"/>
        <item sd="0" x="10"/>
        <item t="default"/>
      </items>
    </pivotField>
  </pivotFields>
  <rowFields count="1">
    <field x="11"/>
  </rowFields>
  <rowItems count="7">
    <i>
      <x v="1"/>
    </i>
    <i>
      <x v="4"/>
    </i>
    <i>
      <x v="2"/>
    </i>
    <i>
      <x v="3"/>
    </i>
    <i>
      <x/>
    </i>
    <i>
      <x v="5"/>
    </i>
    <i t="grand">
      <x/>
    </i>
  </rowItems>
  <colItems count="1">
    <i/>
  </colItems>
  <dataFields count="1">
    <dataField name="Total Views_Millions" fld="13" baseField="11" baseItem="0" numFmtId="167"/>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CAAFAF6-A58A-4D51-8CF5-BA29BA3DF82C}" name="Avg_View_Count_By_License" cacheId="0"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Ratings">
  <location ref="AI13:AI14" firstHeaderRow="1" firstDataRow="1" firstDataCol="0"/>
  <pivotFields count="19">
    <pivotField showAll="0"/>
    <pivotField showAll="0">
      <items count="3">
        <item x="1"/>
        <item x="0"/>
        <item t="default"/>
      </items>
    </pivotField>
    <pivotField showAll="0"/>
    <pivotField showAll="0"/>
    <pivotField showAll="0"/>
    <pivotField showAll="0">
      <items count="9">
        <item x="2"/>
        <item x="5"/>
        <item x="4"/>
        <item x="6"/>
        <item x="0"/>
        <item x="1"/>
        <item x="3"/>
        <item x="7"/>
        <item t="default"/>
      </items>
    </pivotField>
    <pivotField numFmtId="14" showAll="0">
      <items count="872">
        <item x="165"/>
        <item x="703"/>
        <item x="531"/>
        <item x="79"/>
        <item x="224"/>
        <item x="604"/>
        <item x="779"/>
        <item x="756"/>
        <item x="682"/>
        <item x="716"/>
        <item x="46"/>
        <item x="172"/>
        <item x="558"/>
        <item x="203"/>
        <item x="39"/>
        <item x="296"/>
        <item x="555"/>
        <item x="763"/>
        <item x="649"/>
        <item x="263"/>
        <item x="303"/>
        <item x="330"/>
        <item x="16"/>
        <item x="605"/>
        <item x="654"/>
        <item x="581"/>
        <item x="639"/>
        <item x="422"/>
        <item x="835"/>
        <item x="799"/>
        <item x="469"/>
        <item x="868"/>
        <item x="680"/>
        <item x="533"/>
        <item x="452"/>
        <item x="839"/>
        <item x="418"/>
        <item x="138"/>
        <item x="600"/>
        <item x="778"/>
        <item x="856"/>
        <item x="603"/>
        <item x="565"/>
        <item x="147"/>
        <item x="546"/>
        <item x="239"/>
        <item x="625"/>
        <item x="577"/>
        <item x="382"/>
        <item x="22"/>
        <item x="264"/>
        <item x="502"/>
        <item x="258"/>
        <item x="351"/>
        <item x="237"/>
        <item x="425"/>
        <item x="563"/>
        <item x="412"/>
        <item x="211"/>
        <item x="11"/>
        <item x="223"/>
        <item x="829"/>
        <item x="254"/>
        <item x="863"/>
        <item x="229"/>
        <item x="448"/>
        <item x="173"/>
        <item x="379"/>
        <item x="325"/>
        <item x="267"/>
        <item x="544"/>
        <item x="131"/>
        <item x="310"/>
        <item x="332"/>
        <item x="564"/>
        <item x="291"/>
        <item x="637"/>
        <item x="575"/>
        <item x="571"/>
        <item x="836"/>
        <item x="221"/>
        <item x="552"/>
        <item x="350"/>
        <item x="505"/>
        <item x="470"/>
        <item x="395"/>
        <item x="719"/>
        <item x="59"/>
        <item x="767"/>
        <item x="161"/>
        <item x="624"/>
        <item x="381"/>
        <item x="251"/>
        <item x="679"/>
        <item x="406"/>
        <item x="77"/>
        <item x="56"/>
        <item x="354"/>
        <item x="772"/>
        <item x="813"/>
        <item x="152"/>
        <item x="124"/>
        <item x="442"/>
        <item x="74"/>
        <item x="61"/>
        <item x="838"/>
        <item x="667"/>
        <item x="139"/>
        <item x="225"/>
        <item x="606"/>
        <item x="179"/>
        <item x="191"/>
        <item x="12"/>
        <item x="345"/>
        <item x="683"/>
        <item x="304"/>
        <item x="591"/>
        <item x="691"/>
        <item x="170"/>
        <item x="733"/>
        <item x="635"/>
        <item x="548"/>
        <item x="4"/>
        <item x="168"/>
        <item x="471"/>
        <item x="67"/>
        <item x="57"/>
        <item x="178"/>
        <item x="678"/>
        <item x="650"/>
        <item x="90"/>
        <item x="405"/>
        <item x="146"/>
        <item x="181"/>
        <item x="240"/>
        <item x="362"/>
        <item x="0"/>
        <item x="118"/>
        <item x="104"/>
        <item x="760"/>
        <item x="504"/>
        <item x="601"/>
        <item x="31"/>
        <item x="143"/>
        <item x="752"/>
        <item x="399"/>
        <item x="3"/>
        <item x="735"/>
        <item x="426"/>
        <item x="198"/>
        <item x="648"/>
        <item x="150"/>
        <item x="828"/>
        <item x="597"/>
        <item x="592"/>
        <item x="98"/>
        <item x="766"/>
        <item x="336"/>
        <item x="608"/>
        <item x="588"/>
        <item x="630"/>
        <item x="485"/>
        <item x="299"/>
        <item x="363"/>
        <item x="428"/>
        <item x="693"/>
        <item x="377"/>
        <item x="309"/>
        <item x="651"/>
        <item x="322"/>
        <item x="556"/>
        <item x="645"/>
        <item x="83"/>
        <item x="185"/>
        <item x="214"/>
        <item x="482"/>
        <item x="641"/>
        <item x="295"/>
        <item x="810"/>
        <item x="371"/>
        <item x="340"/>
        <item x="578"/>
        <item x="551"/>
        <item x="359"/>
        <item x="695"/>
        <item x="709"/>
        <item x="63"/>
        <item x="307"/>
        <item x="722"/>
        <item x="446"/>
        <item x="8"/>
        <item x="736"/>
        <item x="365"/>
        <item x="36"/>
        <item x="259"/>
        <item x="491"/>
        <item x="436"/>
        <item x="290"/>
        <item x="864"/>
        <item x="842"/>
        <item x="773"/>
        <item x="127"/>
        <item x="847"/>
        <item x="231"/>
        <item x="567"/>
        <item x="737"/>
        <item x="713"/>
        <item x="71"/>
        <item x="715"/>
        <item x="136"/>
        <item x="162"/>
        <item x="400"/>
        <item x="739"/>
        <item x="731"/>
        <item x="841"/>
        <item x="392"/>
        <item x="786"/>
        <item x="187"/>
        <item x="315"/>
        <item x="589"/>
        <item x="646"/>
        <item x="410"/>
        <item x="255"/>
        <item x="503"/>
        <item x="472"/>
        <item x="686"/>
        <item x="210"/>
        <item x="196"/>
        <item x="673"/>
        <item x="126"/>
        <item x="248"/>
        <item x="867"/>
        <item x="166"/>
        <item x="547"/>
        <item x="484"/>
        <item x="357"/>
        <item x="374"/>
        <item x="249"/>
        <item x="612"/>
        <item x="195"/>
        <item x="132"/>
        <item x="450"/>
        <item x="594"/>
        <item x="5"/>
        <item x="113"/>
        <item x="321"/>
        <item x="200"/>
        <item x="97"/>
        <item x="822"/>
        <item x="818"/>
        <item x="85"/>
        <item x="38"/>
        <item x="32"/>
        <item x="41"/>
        <item x="355"/>
        <item x="353"/>
        <item x="698"/>
        <item x="53"/>
        <item x="513"/>
        <item x="797"/>
        <item x="247"/>
        <item x="652"/>
        <item x="495"/>
        <item x="677"/>
        <item x="445"/>
        <item x="323"/>
        <item x="125"/>
        <item x="859"/>
        <item x="830"/>
        <item x="759"/>
        <item x="523"/>
        <item x="338"/>
        <item x="457"/>
        <item x="398"/>
        <item x="95"/>
        <item x="514"/>
        <item x="415"/>
        <item x="615"/>
        <item x="174"/>
        <item x="610"/>
        <item x="832"/>
        <item x="93"/>
        <item x="177"/>
        <item x="609"/>
        <item x="629"/>
        <item x="787"/>
        <item x="335"/>
        <item x="312"/>
        <item x="14"/>
        <item x="540"/>
        <item x="866"/>
        <item x="700"/>
        <item x="596"/>
        <item x="803"/>
        <item x="2"/>
        <item x="811"/>
        <item x="407"/>
        <item x="369"/>
        <item x="385"/>
        <item x="333"/>
        <item x="217"/>
        <item x="316"/>
        <item x="507"/>
        <item x="740"/>
        <item x="257"/>
        <item x="157"/>
        <item x="770"/>
        <item x="748"/>
        <item x="244"/>
        <item x="476"/>
        <item x="569"/>
        <item x="394"/>
        <item x="845"/>
        <item x="860"/>
        <item x="788"/>
        <item x="209"/>
        <item x="144"/>
        <item x="757"/>
        <item x="274"/>
        <item x="869"/>
        <item x="515"/>
        <item x="723"/>
        <item x="562"/>
        <item x="437"/>
        <item x="734"/>
        <item x="9"/>
        <item x="262"/>
        <item x="534"/>
        <item x="560"/>
        <item x="539"/>
        <item x="468"/>
        <item x="404"/>
        <item x="692"/>
        <item x="92"/>
        <item x="192"/>
        <item x="226"/>
        <item x="718"/>
        <item x="865"/>
        <item x="826"/>
        <item x="831"/>
        <item x="43"/>
        <item x="269"/>
        <item x="213"/>
        <item x="241"/>
        <item x="26"/>
        <item x="776"/>
        <item x="358"/>
        <item x="184"/>
        <item x="808"/>
        <item x="655"/>
        <item x="243"/>
        <item x="128"/>
        <item x="553"/>
        <item x="7"/>
        <item x="205"/>
        <item x="561"/>
        <item x="525"/>
        <item x="119"/>
        <item x="96"/>
        <item x="572"/>
        <item x="282"/>
        <item x="439"/>
        <item x="273"/>
        <item x="780"/>
        <item x="545"/>
        <item x="164"/>
        <item x="148"/>
        <item x="314"/>
        <item x="20"/>
        <item x="151"/>
        <item x="188"/>
        <item x="364"/>
        <item x="621"/>
        <item x="656"/>
        <item x="726"/>
        <item x="344"/>
        <item x="29"/>
        <item x="705"/>
        <item x="634"/>
        <item x="432"/>
        <item x="49"/>
        <item x="403"/>
        <item x="55"/>
        <item x="414"/>
        <item x="35"/>
        <item x="697"/>
        <item x="554"/>
        <item x="754"/>
        <item x="234"/>
        <item x="349"/>
        <item x="489"/>
        <item x="302"/>
        <item x="378"/>
        <item x="320"/>
        <item x="850"/>
        <item x="440"/>
        <item x="163"/>
        <item x="702"/>
        <item x="106"/>
        <item x="743"/>
        <item x="738"/>
        <item x="633"/>
        <item x="823"/>
        <item x="855"/>
        <item x="447"/>
        <item x="301"/>
        <item x="220"/>
        <item x="509"/>
        <item x="420"/>
        <item x="68"/>
        <item x="643"/>
        <item x="111"/>
        <item x="297"/>
        <item x="475"/>
        <item x="101"/>
        <item x="674"/>
        <item x="694"/>
        <item x="212"/>
        <item x="530"/>
        <item x="137"/>
        <item x="66"/>
        <item x="497"/>
        <item x="518"/>
        <item x="376"/>
        <item x="81"/>
        <item x="807"/>
        <item x="814"/>
        <item x="430"/>
        <item x="765"/>
        <item x="347"/>
        <item x="762"/>
        <item x="685"/>
        <item x="616"/>
        <item x="473"/>
        <item x="647"/>
        <item x="230"/>
        <item x="532"/>
        <item x="782"/>
        <item x="116"/>
        <item x="664"/>
        <item x="688"/>
        <item x="781"/>
        <item x="817"/>
        <item x="483"/>
        <item x="78"/>
        <item x="443"/>
        <item x="745"/>
        <item x="642"/>
        <item x="535"/>
        <item x="627"/>
        <item x="86"/>
        <item x="289"/>
        <item x="18"/>
        <item x="206"/>
        <item x="207"/>
        <item x="626"/>
        <item x="512"/>
        <item x="305"/>
        <item x="140"/>
        <item x="121"/>
        <item x="64"/>
        <item x="730"/>
        <item x="252"/>
        <item x="487"/>
        <item x="806"/>
        <item x="319"/>
        <item x="260"/>
        <item x="528"/>
        <item x="142"/>
        <item x="816"/>
        <item x="329"/>
        <item x="91"/>
        <item x="746"/>
        <item x="741"/>
        <item x="761"/>
        <item x="618"/>
        <item x="189"/>
        <item x="800"/>
        <item x="668"/>
        <item x="287"/>
        <item x="149"/>
        <item x="245"/>
        <item x="331"/>
        <item x="854"/>
        <item x="105"/>
        <item x="657"/>
        <item x="793"/>
        <item x="451"/>
        <item x="566"/>
        <item x="638"/>
        <item x="676"/>
        <item x="750"/>
        <item x="190"/>
        <item x="583"/>
        <item x="58"/>
        <item x="15"/>
        <item x="783"/>
        <item x="599"/>
        <item x="294"/>
        <item x="598"/>
        <item x="153"/>
        <item x="334"/>
        <item x="620"/>
        <item x="108"/>
        <item x="720"/>
        <item x="202"/>
        <item x="672"/>
        <item x="623"/>
        <item x="768"/>
        <item x="543"/>
        <item x="361"/>
        <item x="584"/>
        <item x="275"/>
        <item x="156"/>
        <item x="326"/>
        <item x="775"/>
        <item x="675"/>
        <item x="586"/>
        <item x="54"/>
        <item x="614"/>
        <item x="109"/>
        <item x="438"/>
        <item x="804"/>
        <item x="728"/>
        <item x="449"/>
        <item x="536"/>
        <item x="154"/>
        <item x="228"/>
        <item x="88"/>
        <item x="28"/>
        <item x="500"/>
        <item x="388"/>
        <item x="789"/>
        <item x="327"/>
        <item x="870"/>
        <item x="175"/>
        <item x="508"/>
        <item x="607"/>
        <item x="852"/>
        <item x="311"/>
        <item x="24"/>
        <item x="809"/>
        <item x="712"/>
        <item x="461"/>
        <item x="236"/>
        <item x="383"/>
        <item x="380"/>
        <item x="135"/>
        <item x="308"/>
        <item x="276"/>
        <item x="458"/>
        <item x="696"/>
        <item x="278"/>
        <item x="690"/>
        <item x="402"/>
        <item x="479"/>
        <item x="117"/>
        <item x="99"/>
        <item x="40"/>
        <item x="435"/>
        <item x="576"/>
        <item x="429"/>
        <item x="764"/>
        <item x="812"/>
        <item x="844"/>
        <item x="658"/>
        <item x="159"/>
        <item x="94"/>
        <item x="48"/>
        <item x="193"/>
        <item x="570"/>
        <item x="568"/>
        <item x="613"/>
        <item x="89"/>
        <item x="431"/>
        <item x="585"/>
        <item x="288"/>
        <item x="466"/>
        <item x="681"/>
        <item x="284"/>
        <item x="474"/>
        <item x="115"/>
        <item x="529"/>
        <item x="464"/>
        <item x="769"/>
        <item x="328"/>
        <item x="815"/>
        <item x="75"/>
        <item x="33"/>
        <item x="37"/>
        <item x="587"/>
        <item x="670"/>
        <item x="549"/>
        <item x="348"/>
        <item x="580"/>
        <item x="199"/>
        <item x="699"/>
        <item x="266"/>
        <item x="444"/>
        <item x="501"/>
        <item x="574"/>
        <item x="50"/>
        <item x="459"/>
        <item x="467"/>
        <item x="541"/>
        <item x="167"/>
        <item x="272"/>
        <item x="134"/>
        <item x="488"/>
        <item x="397"/>
        <item x="666"/>
        <item x="375"/>
        <item x="215"/>
        <item x="857"/>
        <item x="711"/>
        <item x="76"/>
        <item x="204"/>
        <item x="133"/>
        <item x="732"/>
        <item x="416"/>
        <item x="478"/>
        <item x="462"/>
        <item x="628"/>
        <item x="409"/>
        <item x="820"/>
        <item x="861"/>
        <item x="725"/>
        <item x="337"/>
        <item x="516"/>
        <item x="662"/>
        <item x="455"/>
        <item x="368"/>
        <item x="833"/>
        <item x="120"/>
        <item x="158"/>
        <item x="517"/>
        <item x="356"/>
        <item x="6"/>
        <item x="341"/>
        <item x="579"/>
        <item x="197"/>
        <item x="366"/>
        <item x="717"/>
        <item x="602"/>
        <item x="352"/>
        <item x="848"/>
        <item x="103"/>
        <item x="218"/>
        <item x="393"/>
        <item x="689"/>
        <item x="419"/>
        <item x="10"/>
        <item x="661"/>
        <item x="45"/>
        <item x="17"/>
        <item x="52"/>
        <item x="453"/>
        <item x="271"/>
        <item x="617"/>
        <item x="751"/>
        <item x="774"/>
        <item x="708"/>
        <item x="771"/>
        <item x="130"/>
        <item x="858"/>
        <item x="216"/>
        <item x="227"/>
        <item x="819"/>
        <item x="559"/>
        <item x="701"/>
        <item x="496"/>
        <item x="342"/>
        <item x="183"/>
        <item x="640"/>
        <item x="30"/>
        <item x="798"/>
        <item x="112"/>
        <item x="421"/>
        <item x="441"/>
        <item x="279"/>
        <item x="494"/>
        <item x="862"/>
        <item x="141"/>
        <item x="663"/>
        <item x="313"/>
        <item x="107"/>
        <item x="481"/>
        <item x="201"/>
        <item x="456"/>
        <item x="235"/>
        <item x="707"/>
        <item x="246"/>
        <item x="660"/>
        <item x="51"/>
        <item x="123"/>
        <item x="463"/>
        <item x="155"/>
        <item x="87"/>
        <item x="573"/>
        <item x="490"/>
        <item x="122"/>
        <item x="219"/>
        <item x="749"/>
        <item x="742"/>
        <item x="25"/>
        <item x="827"/>
        <item x="408"/>
        <item x="318"/>
        <item x="537"/>
        <item x="595"/>
        <item x="714"/>
        <item x="795"/>
        <item x="34"/>
        <item x="590"/>
        <item x="727"/>
        <item x="233"/>
        <item x="256"/>
        <item x="493"/>
        <item x="791"/>
        <item x="669"/>
        <item x="238"/>
        <item x="306"/>
        <item x="492"/>
        <item x="499"/>
        <item x="242"/>
        <item x="285"/>
        <item x="527"/>
        <item x="253"/>
        <item x="542"/>
        <item x="339"/>
        <item x="343"/>
        <item x="851"/>
        <item x="324"/>
        <item x="632"/>
        <item x="729"/>
        <item x="60"/>
        <item x="286"/>
        <item x="389"/>
        <item x="843"/>
        <item x="42"/>
        <item x="519"/>
        <item x="417"/>
        <item x="44"/>
        <item x="411"/>
        <item x="434"/>
        <item x="477"/>
        <item x="69"/>
        <item x="777"/>
        <item x="636"/>
        <item x="423"/>
        <item x="653"/>
        <item x="744"/>
        <item x="510"/>
        <item x="801"/>
        <item x="792"/>
        <item x="853"/>
        <item x="277"/>
        <item x="687"/>
        <item x="145"/>
        <item x="283"/>
        <item x="390"/>
        <item x="522"/>
        <item x="232"/>
        <item x="506"/>
        <item x="840"/>
        <item x="521"/>
        <item x="13"/>
        <item x="665"/>
        <item x="396"/>
        <item x="622"/>
        <item x="659"/>
        <item x="102"/>
        <item x="824"/>
        <item x="194"/>
        <item x="281"/>
        <item x="704"/>
        <item x="413"/>
        <item x="222"/>
        <item x="550"/>
        <item x="511"/>
        <item x="372"/>
        <item x="498"/>
        <item x="182"/>
        <item x="186"/>
        <item x="384"/>
        <item x="794"/>
        <item x="317"/>
        <item x="724"/>
        <item x="433"/>
        <item x="582"/>
        <item x="631"/>
        <item x="270"/>
        <item x="802"/>
        <item x="129"/>
        <item x="65"/>
        <item x="758"/>
        <item x="480"/>
        <item x="23"/>
        <item x="72"/>
        <item x="790"/>
        <item x="367"/>
        <item x="387"/>
        <item x="171"/>
        <item x="538"/>
        <item x="805"/>
        <item x="424"/>
        <item x="785"/>
        <item x="706"/>
        <item x="1"/>
        <item x="526"/>
        <item x="19"/>
        <item x="611"/>
        <item x="401"/>
        <item x="169"/>
        <item x="47"/>
        <item x="454"/>
        <item x="62"/>
        <item x="180"/>
        <item x="208"/>
        <item x="391"/>
        <item x="524"/>
        <item x="73"/>
        <item x="292"/>
        <item x="834"/>
        <item x="710"/>
        <item x="114"/>
        <item x="486"/>
        <item x="160"/>
        <item x="747"/>
        <item x="280"/>
        <item x="846"/>
        <item x="268"/>
        <item x="261"/>
        <item x="386"/>
        <item x="520"/>
        <item x="298"/>
        <item x="755"/>
        <item x="753"/>
        <item x="300"/>
        <item x="619"/>
        <item x="784"/>
        <item x="176"/>
        <item x="557"/>
        <item x="21"/>
        <item x="100"/>
        <item x="110"/>
        <item x="265"/>
        <item x="821"/>
        <item x="27"/>
        <item x="80"/>
        <item x="721"/>
        <item x="250"/>
        <item x="70"/>
        <item x="671"/>
        <item x="849"/>
        <item x="427"/>
        <item x="684"/>
        <item x="84"/>
        <item x="593"/>
        <item x="837"/>
        <item x="644"/>
        <item x="82"/>
        <item x="796"/>
        <item x="825"/>
        <item x="360"/>
        <item x="370"/>
        <item x="373"/>
        <item x="460"/>
        <item x="293"/>
        <item x="465"/>
        <item x="346"/>
        <item t="default"/>
      </items>
    </pivotField>
    <pivotField showAll="0"/>
    <pivotField showAll="0"/>
    <pivotField showAll="0"/>
    <pivotField showAll="0">
      <items count="3">
        <item x="1"/>
        <item x="0"/>
        <item t="default"/>
      </items>
    </pivotField>
    <pivotField showAll="0">
      <items count="7">
        <item x="2"/>
        <item x="0"/>
        <item x="1"/>
        <item x="5"/>
        <item x="3"/>
        <item x="4"/>
        <item t="default"/>
      </items>
    </pivotField>
    <pivotField showAll="0"/>
    <pivotField dataField="1" showAll="0"/>
    <pivotField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2">
        <item sd="0" x="0"/>
        <item sd="0" x="1"/>
        <item sd="0" x="2"/>
        <item sd="0" x="3"/>
        <item sd="0" x="4"/>
        <item sd="0" x="5"/>
        <item sd="0" x="6"/>
        <item sd="0" x="7"/>
        <item sd="0" x="8"/>
        <item sd="0" x="9"/>
        <item sd="0" x="10"/>
        <item t="default"/>
      </items>
    </pivotField>
  </pivotFields>
  <rowItems count="1">
    <i/>
  </rowItems>
  <colItems count="1">
    <i/>
  </colItems>
  <dataFields count="1">
    <dataField name="Average of Views_Millions" fld="1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3A2A9CA-CCFE-4F4F-8D38-03CE438AA94E}" name="Maturity_Ratings_Count" cacheId="0"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Maturity ratings">
  <location ref="AE13:AF20" firstHeaderRow="1" firstDataRow="1" firstDataCol="1"/>
  <pivotFields count="19">
    <pivotField showAll="0"/>
    <pivotField showAll="0">
      <items count="3">
        <item x="1"/>
        <item x="0"/>
        <item t="default"/>
      </items>
    </pivotField>
    <pivotField dataField="1" showAll="0"/>
    <pivotField showAll="0"/>
    <pivotField showAll="0"/>
    <pivotField showAll="0">
      <items count="9">
        <item x="2"/>
        <item x="5"/>
        <item x="4"/>
        <item x="6"/>
        <item x="0"/>
        <item x="1"/>
        <item x="3"/>
        <item x="7"/>
        <item t="default"/>
      </items>
    </pivotField>
    <pivotField numFmtId="14" showAll="0">
      <items count="872">
        <item x="165"/>
        <item x="703"/>
        <item x="531"/>
        <item x="79"/>
        <item x="224"/>
        <item x="604"/>
        <item x="779"/>
        <item x="756"/>
        <item x="682"/>
        <item x="716"/>
        <item x="46"/>
        <item x="172"/>
        <item x="558"/>
        <item x="203"/>
        <item x="39"/>
        <item x="296"/>
        <item x="555"/>
        <item x="763"/>
        <item x="649"/>
        <item x="263"/>
        <item x="303"/>
        <item x="330"/>
        <item x="16"/>
        <item x="605"/>
        <item x="654"/>
        <item x="581"/>
        <item x="639"/>
        <item x="422"/>
        <item x="835"/>
        <item x="799"/>
        <item x="469"/>
        <item x="868"/>
        <item x="680"/>
        <item x="533"/>
        <item x="452"/>
        <item x="839"/>
        <item x="418"/>
        <item x="138"/>
        <item x="600"/>
        <item x="778"/>
        <item x="856"/>
        <item x="603"/>
        <item x="565"/>
        <item x="147"/>
        <item x="546"/>
        <item x="239"/>
        <item x="625"/>
        <item x="577"/>
        <item x="382"/>
        <item x="22"/>
        <item x="264"/>
        <item x="502"/>
        <item x="258"/>
        <item x="351"/>
        <item x="237"/>
        <item x="425"/>
        <item x="563"/>
        <item x="412"/>
        <item x="211"/>
        <item x="11"/>
        <item x="223"/>
        <item x="829"/>
        <item x="254"/>
        <item x="863"/>
        <item x="229"/>
        <item x="448"/>
        <item x="173"/>
        <item x="379"/>
        <item x="325"/>
        <item x="267"/>
        <item x="544"/>
        <item x="131"/>
        <item x="310"/>
        <item x="332"/>
        <item x="564"/>
        <item x="291"/>
        <item x="637"/>
        <item x="575"/>
        <item x="571"/>
        <item x="836"/>
        <item x="221"/>
        <item x="552"/>
        <item x="350"/>
        <item x="505"/>
        <item x="470"/>
        <item x="395"/>
        <item x="719"/>
        <item x="59"/>
        <item x="767"/>
        <item x="161"/>
        <item x="624"/>
        <item x="381"/>
        <item x="251"/>
        <item x="679"/>
        <item x="406"/>
        <item x="77"/>
        <item x="56"/>
        <item x="354"/>
        <item x="772"/>
        <item x="813"/>
        <item x="152"/>
        <item x="124"/>
        <item x="442"/>
        <item x="74"/>
        <item x="61"/>
        <item x="838"/>
        <item x="667"/>
        <item x="139"/>
        <item x="225"/>
        <item x="606"/>
        <item x="179"/>
        <item x="191"/>
        <item x="12"/>
        <item x="345"/>
        <item x="683"/>
        <item x="304"/>
        <item x="591"/>
        <item x="691"/>
        <item x="170"/>
        <item x="733"/>
        <item x="635"/>
        <item x="548"/>
        <item x="4"/>
        <item x="168"/>
        <item x="471"/>
        <item x="67"/>
        <item x="57"/>
        <item x="178"/>
        <item x="678"/>
        <item x="650"/>
        <item x="90"/>
        <item x="405"/>
        <item x="146"/>
        <item x="181"/>
        <item x="240"/>
        <item x="362"/>
        <item x="0"/>
        <item x="118"/>
        <item x="104"/>
        <item x="760"/>
        <item x="504"/>
        <item x="601"/>
        <item x="31"/>
        <item x="143"/>
        <item x="752"/>
        <item x="399"/>
        <item x="3"/>
        <item x="735"/>
        <item x="426"/>
        <item x="198"/>
        <item x="648"/>
        <item x="150"/>
        <item x="828"/>
        <item x="597"/>
        <item x="592"/>
        <item x="98"/>
        <item x="766"/>
        <item x="336"/>
        <item x="608"/>
        <item x="588"/>
        <item x="630"/>
        <item x="485"/>
        <item x="299"/>
        <item x="363"/>
        <item x="428"/>
        <item x="693"/>
        <item x="377"/>
        <item x="309"/>
        <item x="651"/>
        <item x="322"/>
        <item x="556"/>
        <item x="645"/>
        <item x="83"/>
        <item x="185"/>
        <item x="214"/>
        <item x="482"/>
        <item x="641"/>
        <item x="295"/>
        <item x="810"/>
        <item x="371"/>
        <item x="340"/>
        <item x="578"/>
        <item x="551"/>
        <item x="359"/>
        <item x="695"/>
        <item x="709"/>
        <item x="63"/>
        <item x="307"/>
        <item x="722"/>
        <item x="446"/>
        <item x="8"/>
        <item x="736"/>
        <item x="365"/>
        <item x="36"/>
        <item x="259"/>
        <item x="491"/>
        <item x="436"/>
        <item x="290"/>
        <item x="864"/>
        <item x="842"/>
        <item x="773"/>
        <item x="127"/>
        <item x="847"/>
        <item x="231"/>
        <item x="567"/>
        <item x="737"/>
        <item x="713"/>
        <item x="71"/>
        <item x="715"/>
        <item x="136"/>
        <item x="162"/>
        <item x="400"/>
        <item x="739"/>
        <item x="731"/>
        <item x="841"/>
        <item x="392"/>
        <item x="786"/>
        <item x="187"/>
        <item x="315"/>
        <item x="589"/>
        <item x="646"/>
        <item x="410"/>
        <item x="255"/>
        <item x="503"/>
        <item x="472"/>
        <item x="686"/>
        <item x="210"/>
        <item x="196"/>
        <item x="673"/>
        <item x="126"/>
        <item x="248"/>
        <item x="867"/>
        <item x="166"/>
        <item x="547"/>
        <item x="484"/>
        <item x="357"/>
        <item x="374"/>
        <item x="249"/>
        <item x="612"/>
        <item x="195"/>
        <item x="132"/>
        <item x="450"/>
        <item x="594"/>
        <item x="5"/>
        <item x="113"/>
        <item x="321"/>
        <item x="200"/>
        <item x="97"/>
        <item x="822"/>
        <item x="818"/>
        <item x="85"/>
        <item x="38"/>
        <item x="32"/>
        <item x="41"/>
        <item x="355"/>
        <item x="353"/>
        <item x="698"/>
        <item x="53"/>
        <item x="513"/>
        <item x="797"/>
        <item x="247"/>
        <item x="652"/>
        <item x="495"/>
        <item x="677"/>
        <item x="445"/>
        <item x="323"/>
        <item x="125"/>
        <item x="859"/>
        <item x="830"/>
        <item x="759"/>
        <item x="523"/>
        <item x="338"/>
        <item x="457"/>
        <item x="398"/>
        <item x="95"/>
        <item x="514"/>
        <item x="415"/>
        <item x="615"/>
        <item x="174"/>
        <item x="610"/>
        <item x="832"/>
        <item x="93"/>
        <item x="177"/>
        <item x="609"/>
        <item x="629"/>
        <item x="787"/>
        <item x="335"/>
        <item x="312"/>
        <item x="14"/>
        <item x="540"/>
        <item x="866"/>
        <item x="700"/>
        <item x="596"/>
        <item x="803"/>
        <item x="2"/>
        <item x="811"/>
        <item x="407"/>
        <item x="369"/>
        <item x="385"/>
        <item x="333"/>
        <item x="217"/>
        <item x="316"/>
        <item x="507"/>
        <item x="740"/>
        <item x="257"/>
        <item x="157"/>
        <item x="770"/>
        <item x="748"/>
        <item x="244"/>
        <item x="476"/>
        <item x="569"/>
        <item x="394"/>
        <item x="845"/>
        <item x="860"/>
        <item x="788"/>
        <item x="209"/>
        <item x="144"/>
        <item x="757"/>
        <item x="274"/>
        <item x="869"/>
        <item x="515"/>
        <item x="723"/>
        <item x="562"/>
        <item x="437"/>
        <item x="734"/>
        <item x="9"/>
        <item x="262"/>
        <item x="534"/>
        <item x="560"/>
        <item x="539"/>
        <item x="468"/>
        <item x="404"/>
        <item x="692"/>
        <item x="92"/>
        <item x="192"/>
        <item x="226"/>
        <item x="718"/>
        <item x="865"/>
        <item x="826"/>
        <item x="831"/>
        <item x="43"/>
        <item x="269"/>
        <item x="213"/>
        <item x="241"/>
        <item x="26"/>
        <item x="776"/>
        <item x="358"/>
        <item x="184"/>
        <item x="808"/>
        <item x="655"/>
        <item x="243"/>
        <item x="128"/>
        <item x="553"/>
        <item x="7"/>
        <item x="205"/>
        <item x="561"/>
        <item x="525"/>
        <item x="119"/>
        <item x="96"/>
        <item x="572"/>
        <item x="282"/>
        <item x="439"/>
        <item x="273"/>
        <item x="780"/>
        <item x="545"/>
        <item x="164"/>
        <item x="148"/>
        <item x="314"/>
        <item x="20"/>
        <item x="151"/>
        <item x="188"/>
        <item x="364"/>
        <item x="621"/>
        <item x="656"/>
        <item x="726"/>
        <item x="344"/>
        <item x="29"/>
        <item x="705"/>
        <item x="634"/>
        <item x="432"/>
        <item x="49"/>
        <item x="403"/>
        <item x="55"/>
        <item x="414"/>
        <item x="35"/>
        <item x="697"/>
        <item x="554"/>
        <item x="754"/>
        <item x="234"/>
        <item x="349"/>
        <item x="489"/>
        <item x="302"/>
        <item x="378"/>
        <item x="320"/>
        <item x="850"/>
        <item x="440"/>
        <item x="163"/>
        <item x="702"/>
        <item x="106"/>
        <item x="743"/>
        <item x="738"/>
        <item x="633"/>
        <item x="823"/>
        <item x="855"/>
        <item x="447"/>
        <item x="301"/>
        <item x="220"/>
        <item x="509"/>
        <item x="420"/>
        <item x="68"/>
        <item x="643"/>
        <item x="111"/>
        <item x="297"/>
        <item x="475"/>
        <item x="101"/>
        <item x="674"/>
        <item x="694"/>
        <item x="212"/>
        <item x="530"/>
        <item x="137"/>
        <item x="66"/>
        <item x="497"/>
        <item x="518"/>
        <item x="376"/>
        <item x="81"/>
        <item x="807"/>
        <item x="814"/>
        <item x="430"/>
        <item x="765"/>
        <item x="347"/>
        <item x="762"/>
        <item x="685"/>
        <item x="616"/>
        <item x="473"/>
        <item x="647"/>
        <item x="230"/>
        <item x="532"/>
        <item x="782"/>
        <item x="116"/>
        <item x="664"/>
        <item x="688"/>
        <item x="781"/>
        <item x="817"/>
        <item x="483"/>
        <item x="78"/>
        <item x="443"/>
        <item x="745"/>
        <item x="642"/>
        <item x="535"/>
        <item x="627"/>
        <item x="86"/>
        <item x="289"/>
        <item x="18"/>
        <item x="206"/>
        <item x="207"/>
        <item x="626"/>
        <item x="512"/>
        <item x="305"/>
        <item x="140"/>
        <item x="121"/>
        <item x="64"/>
        <item x="730"/>
        <item x="252"/>
        <item x="487"/>
        <item x="806"/>
        <item x="319"/>
        <item x="260"/>
        <item x="528"/>
        <item x="142"/>
        <item x="816"/>
        <item x="329"/>
        <item x="91"/>
        <item x="746"/>
        <item x="741"/>
        <item x="761"/>
        <item x="618"/>
        <item x="189"/>
        <item x="800"/>
        <item x="668"/>
        <item x="287"/>
        <item x="149"/>
        <item x="245"/>
        <item x="331"/>
        <item x="854"/>
        <item x="105"/>
        <item x="657"/>
        <item x="793"/>
        <item x="451"/>
        <item x="566"/>
        <item x="638"/>
        <item x="676"/>
        <item x="750"/>
        <item x="190"/>
        <item x="583"/>
        <item x="58"/>
        <item x="15"/>
        <item x="783"/>
        <item x="599"/>
        <item x="294"/>
        <item x="598"/>
        <item x="153"/>
        <item x="334"/>
        <item x="620"/>
        <item x="108"/>
        <item x="720"/>
        <item x="202"/>
        <item x="672"/>
        <item x="623"/>
        <item x="768"/>
        <item x="543"/>
        <item x="361"/>
        <item x="584"/>
        <item x="275"/>
        <item x="156"/>
        <item x="326"/>
        <item x="775"/>
        <item x="675"/>
        <item x="586"/>
        <item x="54"/>
        <item x="614"/>
        <item x="109"/>
        <item x="438"/>
        <item x="804"/>
        <item x="728"/>
        <item x="449"/>
        <item x="536"/>
        <item x="154"/>
        <item x="228"/>
        <item x="88"/>
        <item x="28"/>
        <item x="500"/>
        <item x="388"/>
        <item x="789"/>
        <item x="327"/>
        <item x="870"/>
        <item x="175"/>
        <item x="508"/>
        <item x="607"/>
        <item x="852"/>
        <item x="311"/>
        <item x="24"/>
        <item x="809"/>
        <item x="712"/>
        <item x="461"/>
        <item x="236"/>
        <item x="383"/>
        <item x="380"/>
        <item x="135"/>
        <item x="308"/>
        <item x="276"/>
        <item x="458"/>
        <item x="696"/>
        <item x="278"/>
        <item x="690"/>
        <item x="402"/>
        <item x="479"/>
        <item x="117"/>
        <item x="99"/>
        <item x="40"/>
        <item x="435"/>
        <item x="576"/>
        <item x="429"/>
        <item x="764"/>
        <item x="812"/>
        <item x="844"/>
        <item x="658"/>
        <item x="159"/>
        <item x="94"/>
        <item x="48"/>
        <item x="193"/>
        <item x="570"/>
        <item x="568"/>
        <item x="613"/>
        <item x="89"/>
        <item x="431"/>
        <item x="585"/>
        <item x="288"/>
        <item x="466"/>
        <item x="681"/>
        <item x="284"/>
        <item x="474"/>
        <item x="115"/>
        <item x="529"/>
        <item x="464"/>
        <item x="769"/>
        <item x="328"/>
        <item x="815"/>
        <item x="75"/>
        <item x="33"/>
        <item x="37"/>
        <item x="587"/>
        <item x="670"/>
        <item x="549"/>
        <item x="348"/>
        <item x="580"/>
        <item x="199"/>
        <item x="699"/>
        <item x="266"/>
        <item x="444"/>
        <item x="501"/>
        <item x="574"/>
        <item x="50"/>
        <item x="459"/>
        <item x="467"/>
        <item x="541"/>
        <item x="167"/>
        <item x="272"/>
        <item x="134"/>
        <item x="488"/>
        <item x="397"/>
        <item x="666"/>
        <item x="375"/>
        <item x="215"/>
        <item x="857"/>
        <item x="711"/>
        <item x="76"/>
        <item x="204"/>
        <item x="133"/>
        <item x="732"/>
        <item x="416"/>
        <item x="478"/>
        <item x="462"/>
        <item x="628"/>
        <item x="409"/>
        <item x="820"/>
        <item x="861"/>
        <item x="725"/>
        <item x="337"/>
        <item x="516"/>
        <item x="662"/>
        <item x="455"/>
        <item x="368"/>
        <item x="833"/>
        <item x="120"/>
        <item x="158"/>
        <item x="517"/>
        <item x="356"/>
        <item x="6"/>
        <item x="341"/>
        <item x="579"/>
        <item x="197"/>
        <item x="366"/>
        <item x="717"/>
        <item x="602"/>
        <item x="352"/>
        <item x="848"/>
        <item x="103"/>
        <item x="218"/>
        <item x="393"/>
        <item x="689"/>
        <item x="419"/>
        <item x="10"/>
        <item x="661"/>
        <item x="45"/>
        <item x="17"/>
        <item x="52"/>
        <item x="453"/>
        <item x="271"/>
        <item x="617"/>
        <item x="751"/>
        <item x="774"/>
        <item x="708"/>
        <item x="771"/>
        <item x="130"/>
        <item x="858"/>
        <item x="216"/>
        <item x="227"/>
        <item x="819"/>
        <item x="559"/>
        <item x="701"/>
        <item x="496"/>
        <item x="342"/>
        <item x="183"/>
        <item x="640"/>
        <item x="30"/>
        <item x="798"/>
        <item x="112"/>
        <item x="421"/>
        <item x="441"/>
        <item x="279"/>
        <item x="494"/>
        <item x="862"/>
        <item x="141"/>
        <item x="663"/>
        <item x="313"/>
        <item x="107"/>
        <item x="481"/>
        <item x="201"/>
        <item x="456"/>
        <item x="235"/>
        <item x="707"/>
        <item x="246"/>
        <item x="660"/>
        <item x="51"/>
        <item x="123"/>
        <item x="463"/>
        <item x="155"/>
        <item x="87"/>
        <item x="573"/>
        <item x="490"/>
        <item x="122"/>
        <item x="219"/>
        <item x="749"/>
        <item x="742"/>
        <item x="25"/>
        <item x="827"/>
        <item x="408"/>
        <item x="318"/>
        <item x="537"/>
        <item x="595"/>
        <item x="714"/>
        <item x="795"/>
        <item x="34"/>
        <item x="590"/>
        <item x="727"/>
        <item x="233"/>
        <item x="256"/>
        <item x="493"/>
        <item x="791"/>
        <item x="669"/>
        <item x="238"/>
        <item x="306"/>
        <item x="492"/>
        <item x="499"/>
        <item x="242"/>
        <item x="285"/>
        <item x="527"/>
        <item x="253"/>
        <item x="542"/>
        <item x="339"/>
        <item x="343"/>
        <item x="851"/>
        <item x="324"/>
        <item x="632"/>
        <item x="729"/>
        <item x="60"/>
        <item x="286"/>
        <item x="389"/>
        <item x="843"/>
        <item x="42"/>
        <item x="519"/>
        <item x="417"/>
        <item x="44"/>
        <item x="411"/>
        <item x="434"/>
        <item x="477"/>
        <item x="69"/>
        <item x="777"/>
        <item x="636"/>
        <item x="423"/>
        <item x="653"/>
        <item x="744"/>
        <item x="510"/>
        <item x="801"/>
        <item x="792"/>
        <item x="853"/>
        <item x="277"/>
        <item x="687"/>
        <item x="145"/>
        <item x="283"/>
        <item x="390"/>
        <item x="522"/>
        <item x="232"/>
        <item x="506"/>
        <item x="840"/>
        <item x="521"/>
        <item x="13"/>
        <item x="665"/>
        <item x="396"/>
        <item x="622"/>
        <item x="659"/>
        <item x="102"/>
        <item x="824"/>
        <item x="194"/>
        <item x="281"/>
        <item x="704"/>
        <item x="413"/>
        <item x="222"/>
        <item x="550"/>
        <item x="511"/>
        <item x="372"/>
        <item x="498"/>
        <item x="182"/>
        <item x="186"/>
        <item x="384"/>
        <item x="794"/>
        <item x="317"/>
        <item x="724"/>
        <item x="433"/>
        <item x="582"/>
        <item x="631"/>
        <item x="270"/>
        <item x="802"/>
        <item x="129"/>
        <item x="65"/>
        <item x="758"/>
        <item x="480"/>
        <item x="23"/>
        <item x="72"/>
        <item x="790"/>
        <item x="367"/>
        <item x="387"/>
        <item x="171"/>
        <item x="538"/>
        <item x="805"/>
        <item x="424"/>
        <item x="785"/>
        <item x="706"/>
        <item x="1"/>
        <item x="526"/>
        <item x="19"/>
        <item x="611"/>
        <item x="401"/>
        <item x="169"/>
        <item x="47"/>
        <item x="454"/>
        <item x="62"/>
        <item x="180"/>
        <item x="208"/>
        <item x="391"/>
        <item x="524"/>
        <item x="73"/>
        <item x="292"/>
        <item x="834"/>
        <item x="710"/>
        <item x="114"/>
        <item x="486"/>
        <item x="160"/>
        <item x="747"/>
        <item x="280"/>
        <item x="846"/>
        <item x="268"/>
        <item x="261"/>
        <item x="386"/>
        <item x="520"/>
        <item x="298"/>
        <item x="755"/>
        <item x="753"/>
        <item x="300"/>
        <item x="619"/>
        <item x="784"/>
        <item x="176"/>
        <item x="557"/>
        <item x="21"/>
        <item x="100"/>
        <item x="110"/>
        <item x="265"/>
        <item x="821"/>
        <item x="27"/>
        <item x="80"/>
        <item x="721"/>
        <item x="250"/>
        <item x="70"/>
        <item x="671"/>
        <item x="849"/>
        <item x="427"/>
        <item x="684"/>
        <item x="84"/>
        <item x="593"/>
        <item x="837"/>
        <item x="644"/>
        <item x="82"/>
        <item x="796"/>
        <item x="825"/>
        <item x="360"/>
        <item x="370"/>
        <item x="373"/>
        <item x="460"/>
        <item x="293"/>
        <item x="465"/>
        <item x="346"/>
        <item t="default"/>
      </items>
    </pivotField>
    <pivotField showAll="0"/>
    <pivotField axis="axisRow" showAll="0">
      <items count="7">
        <item x="2"/>
        <item x="3"/>
        <item x="0"/>
        <item x="4"/>
        <item x="5"/>
        <item x="1"/>
        <item t="default"/>
      </items>
    </pivotField>
    <pivotField showAll="0"/>
    <pivotField showAll="0">
      <items count="3">
        <item x="1"/>
        <item x="0"/>
        <item t="default"/>
      </items>
    </pivotField>
    <pivotField showAll="0">
      <items count="7">
        <item x="2"/>
        <item x="0"/>
        <item x="1"/>
        <item x="5"/>
        <item x="3"/>
        <item x="4"/>
        <item t="default"/>
      </items>
    </pivotField>
    <pivotField showAll="0"/>
    <pivotField showAll="0"/>
    <pivotField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2">
        <item sd="0" x="0"/>
        <item sd="0" x="1"/>
        <item sd="0" x="2"/>
        <item sd="0" x="3"/>
        <item sd="0" x="4"/>
        <item sd="0" x="5"/>
        <item sd="0" x="6"/>
        <item sd="0" x="7"/>
        <item sd="0" x="8"/>
        <item sd="0" x="9"/>
        <item sd="0" x="10"/>
        <item t="default"/>
      </items>
    </pivotField>
  </pivotFields>
  <rowFields count="1">
    <field x="8"/>
  </rowFields>
  <rowItems count="7">
    <i>
      <x/>
    </i>
    <i>
      <x v="1"/>
    </i>
    <i>
      <x v="2"/>
    </i>
    <i>
      <x v="3"/>
    </i>
    <i>
      <x v="4"/>
    </i>
    <i>
      <x v="5"/>
    </i>
    <i t="grand">
      <x/>
    </i>
  </rowItems>
  <colItems count="1">
    <i/>
  </colItems>
  <dataFields count="1">
    <dataField name="Count Of Ratings" fld="2" subtotal="count" baseField="8" baseItem="5"/>
  </dataFields>
  <chartFormats count="2">
    <chartFormat chart="0" format="0"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8143A1F-B21F-4E6C-9E3C-013B02B1979D}" name="Content_Addition_Overtim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rowHeaderCaption="Added Year">
  <location ref="Q13:R23" firstHeaderRow="1" firstDataRow="1" firstDataCol="1"/>
  <pivotFields count="19">
    <pivotField showAll="0"/>
    <pivotField showAll="0">
      <items count="3">
        <item x="1"/>
        <item x="0"/>
        <item t="default"/>
      </items>
    </pivotField>
    <pivotField showAll="0"/>
    <pivotField showAll="0"/>
    <pivotField showAll="0"/>
    <pivotField showAll="0">
      <items count="9">
        <item x="2"/>
        <item x="5"/>
        <item x="4"/>
        <item x="6"/>
        <item x="0"/>
        <item x="1"/>
        <item x="3"/>
        <item x="7"/>
        <item t="default"/>
      </items>
    </pivotField>
    <pivotField dataField="1" numFmtId="14" showAll="0">
      <items count="872">
        <item x="165"/>
        <item x="703"/>
        <item x="531"/>
        <item x="79"/>
        <item x="224"/>
        <item x="604"/>
        <item x="779"/>
        <item x="756"/>
        <item x="682"/>
        <item x="716"/>
        <item x="46"/>
        <item x="172"/>
        <item x="558"/>
        <item x="203"/>
        <item x="39"/>
        <item x="296"/>
        <item x="555"/>
        <item x="763"/>
        <item x="649"/>
        <item x="263"/>
        <item x="303"/>
        <item x="330"/>
        <item x="16"/>
        <item x="605"/>
        <item x="654"/>
        <item x="581"/>
        <item x="639"/>
        <item x="422"/>
        <item x="835"/>
        <item x="799"/>
        <item x="469"/>
        <item x="868"/>
        <item x="680"/>
        <item x="533"/>
        <item x="452"/>
        <item x="839"/>
        <item x="418"/>
        <item x="138"/>
        <item x="600"/>
        <item x="778"/>
        <item x="856"/>
        <item x="603"/>
        <item x="565"/>
        <item x="147"/>
        <item x="546"/>
        <item x="239"/>
        <item x="625"/>
        <item x="577"/>
        <item x="382"/>
        <item x="22"/>
        <item x="264"/>
        <item x="502"/>
        <item x="258"/>
        <item x="351"/>
        <item x="237"/>
        <item x="425"/>
        <item x="563"/>
        <item x="412"/>
        <item x="211"/>
        <item x="11"/>
        <item x="223"/>
        <item x="829"/>
        <item x="254"/>
        <item x="863"/>
        <item x="229"/>
        <item x="448"/>
        <item x="173"/>
        <item x="379"/>
        <item x="325"/>
        <item x="267"/>
        <item x="544"/>
        <item x="131"/>
        <item x="310"/>
        <item x="332"/>
        <item x="564"/>
        <item x="291"/>
        <item x="637"/>
        <item x="575"/>
        <item x="571"/>
        <item x="836"/>
        <item x="221"/>
        <item x="552"/>
        <item x="350"/>
        <item x="505"/>
        <item x="470"/>
        <item x="395"/>
        <item x="719"/>
        <item x="59"/>
        <item x="767"/>
        <item x="161"/>
        <item x="624"/>
        <item x="381"/>
        <item x="251"/>
        <item x="679"/>
        <item x="406"/>
        <item x="77"/>
        <item x="56"/>
        <item x="354"/>
        <item x="772"/>
        <item x="813"/>
        <item x="152"/>
        <item x="124"/>
        <item x="442"/>
        <item x="74"/>
        <item x="61"/>
        <item x="838"/>
        <item x="667"/>
        <item x="139"/>
        <item x="225"/>
        <item x="606"/>
        <item x="179"/>
        <item x="191"/>
        <item x="12"/>
        <item x="345"/>
        <item x="683"/>
        <item x="304"/>
        <item x="591"/>
        <item x="691"/>
        <item x="170"/>
        <item x="733"/>
        <item x="635"/>
        <item x="548"/>
        <item x="4"/>
        <item x="168"/>
        <item x="471"/>
        <item x="67"/>
        <item x="57"/>
        <item x="178"/>
        <item x="678"/>
        <item x="650"/>
        <item x="90"/>
        <item x="405"/>
        <item x="146"/>
        <item x="181"/>
        <item x="240"/>
        <item x="362"/>
        <item x="0"/>
        <item x="118"/>
        <item x="104"/>
        <item x="760"/>
        <item x="504"/>
        <item x="601"/>
        <item x="31"/>
        <item x="143"/>
        <item x="752"/>
        <item x="399"/>
        <item x="3"/>
        <item x="735"/>
        <item x="426"/>
        <item x="198"/>
        <item x="648"/>
        <item x="150"/>
        <item x="828"/>
        <item x="597"/>
        <item x="592"/>
        <item x="98"/>
        <item x="766"/>
        <item x="336"/>
        <item x="608"/>
        <item x="588"/>
        <item x="630"/>
        <item x="485"/>
        <item x="299"/>
        <item x="363"/>
        <item x="428"/>
        <item x="693"/>
        <item x="377"/>
        <item x="309"/>
        <item x="651"/>
        <item x="322"/>
        <item x="556"/>
        <item x="645"/>
        <item x="83"/>
        <item x="185"/>
        <item x="214"/>
        <item x="482"/>
        <item x="641"/>
        <item x="295"/>
        <item x="810"/>
        <item x="371"/>
        <item x="340"/>
        <item x="578"/>
        <item x="551"/>
        <item x="359"/>
        <item x="695"/>
        <item x="709"/>
        <item x="63"/>
        <item x="307"/>
        <item x="722"/>
        <item x="446"/>
        <item x="8"/>
        <item x="736"/>
        <item x="365"/>
        <item x="36"/>
        <item x="259"/>
        <item x="491"/>
        <item x="436"/>
        <item x="290"/>
        <item x="864"/>
        <item x="842"/>
        <item x="773"/>
        <item x="127"/>
        <item x="847"/>
        <item x="231"/>
        <item x="567"/>
        <item x="737"/>
        <item x="713"/>
        <item x="71"/>
        <item x="715"/>
        <item x="136"/>
        <item x="162"/>
        <item x="400"/>
        <item x="739"/>
        <item x="731"/>
        <item x="841"/>
        <item x="392"/>
        <item x="786"/>
        <item x="187"/>
        <item x="315"/>
        <item x="589"/>
        <item x="646"/>
        <item x="410"/>
        <item x="255"/>
        <item x="503"/>
        <item x="472"/>
        <item x="686"/>
        <item x="210"/>
        <item x="196"/>
        <item x="673"/>
        <item x="126"/>
        <item x="248"/>
        <item x="867"/>
        <item x="166"/>
        <item x="547"/>
        <item x="484"/>
        <item x="357"/>
        <item x="374"/>
        <item x="249"/>
        <item x="612"/>
        <item x="195"/>
        <item x="132"/>
        <item x="450"/>
        <item x="594"/>
        <item x="5"/>
        <item x="113"/>
        <item x="321"/>
        <item x="200"/>
        <item x="97"/>
        <item x="822"/>
        <item x="818"/>
        <item x="85"/>
        <item x="38"/>
        <item x="32"/>
        <item x="41"/>
        <item x="355"/>
        <item x="353"/>
        <item x="698"/>
        <item x="53"/>
        <item x="513"/>
        <item x="797"/>
        <item x="247"/>
        <item x="652"/>
        <item x="495"/>
        <item x="677"/>
        <item x="445"/>
        <item x="323"/>
        <item x="125"/>
        <item x="859"/>
        <item x="830"/>
        <item x="759"/>
        <item x="523"/>
        <item x="338"/>
        <item x="457"/>
        <item x="398"/>
        <item x="95"/>
        <item x="514"/>
        <item x="415"/>
        <item x="615"/>
        <item x="174"/>
        <item x="610"/>
        <item x="832"/>
        <item x="93"/>
        <item x="177"/>
        <item x="609"/>
        <item x="629"/>
        <item x="787"/>
        <item x="335"/>
        <item x="312"/>
        <item x="14"/>
        <item x="540"/>
        <item x="866"/>
        <item x="700"/>
        <item x="596"/>
        <item x="803"/>
        <item x="2"/>
        <item x="811"/>
        <item x="407"/>
        <item x="369"/>
        <item x="385"/>
        <item x="333"/>
        <item x="217"/>
        <item x="316"/>
        <item x="507"/>
        <item x="740"/>
        <item x="257"/>
        <item x="157"/>
        <item x="770"/>
        <item x="748"/>
        <item x="244"/>
        <item x="476"/>
        <item x="569"/>
        <item x="394"/>
        <item x="845"/>
        <item x="860"/>
        <item x="788"/>
        <item x="209"/>
        <item x="144"/>
        <item x="757"/>
        <item x="274"/>
        <item x="869"/>
        <item x="515"/>
        <item x="723"/>
        <item x="562"/>
        <item x="437"/>
        <item x="734"/>
        <item x="9"/>
        <item x="262"/>
        <item x="534"/>
        <item x="560"/>
        <item x="539"/>
        <item x="468"/>
        <item x="404"/>
        <item x="692"/>
        <item x="92"/>
        <item x="192"/>
        <item x="226"/>
        <item x="718"/>
        <item x="865"/>
        <item x="826"/>
        <item x="831"/>
        <item x="43"/>
        <item x="269"/>
        <item x="213"/>
        <item x="241"/>
        <item x="26"/>
        <item x="776"/>
        <item x="358"/>
        <item x="184"/>
        <item x="808"/>
        <item x="655"/>
        <item x="243"/>
        <item x="128"/>
        <item x="553"/>
        <item x="7"/>
        <item x="205"/>
        <item x="561"/>
        <item x="525"/>
        <item x="119"/>
        <item x="96"/>
        <item x="572"/>
        <item x="282"/>
        <item x="439"/>
        <item x="273"/>
        <item x="780"/>
        <item x="545"/>
        <item x="164"/>
        <item x="148"/>
        <item x="314"/>
        <item x="20"/>
        <item x="151"/>
        <item x="188"/>
        <item x="364"/>
        <item x="621"/>
        <item x="656"/>
        <item x="726"/>
        <item x="344"/>
        <item x="29"/>
        <item x="705"/>
        <item x="634"/>
        <item x="432"/>
        <item x="49"/>
        <item x="403"/>
        <item x="55"/>
        <item x="414"/>
        <item x="35"/>
        <item x="697"/>
        <item x="554"/>
        <item x="754"/>
        <item x="234"/>
        <item x="349"/>
        <item x="489"/>
        <item x="302"/>
        <item x="378"/>
        <item x="320"/>
        <item x="850"/>
        <item x="440"/>
        <item x="163"/>
        <item x="702"/>
        <item x="106"/>
        <item x="743"/>
        <item x="738"/>
        <item x="633"/>
        <item x="823"/>
        <item x="855"/>
        <item x="447"/>
        <item x="301"/>
        <item x="220"/>
        <item x="509"/>
        <item x="420"/>
        <item x="68"/>
        <item x="643"/>
        <item x="111"/>
        <item x="297"/>
        <item x="475"/>
        <item x="101"/>
        <item x="674"/>
        <item x="694"/>
        <item x="212"/>
        <item x="530"/>
        <item x="137"/>
        <item x="66"/>
        <item x="497"/>
        <item x="518"/>
        <item x="376"/>
        <item x="81"/>
        <item x="807"/>
        <item x="814"/>
        <item x="430"/>
        <item x="765"/>
        <item x="347"/>
        <item x="762"/>
        <item x="685"/>
        <item x="616"/>
        <item x="473"/>
        <item x="647"/>
        <item x="230"/>
        <item x="532"/>
        <item x="782"/>
        <item x="116"/>
        <item x="664"/>
        <item x="688"/>
        <item x="781"/>
        <item x="817"/>
        <item x="483"/>
        <item x="78"/>
        <item x="443"/>
        <item x="745"/>
        <item x="642"/>
        <item x="535"/>
        <item x="627"/>
        <item x="86"/>
        <item x="289"/>
        <item x="18"/>
        <item x="206"/>
        <item x="207"/>
        <item x="626"/>
        <item x="512"/>
        <item x="305"/>
        <item x="140"/>
        <item x="121"/>
        <item x="64"/>
        <item x="730"/>
        <item x="252"/>
        <item x="487"/>
        <item x="806"/>
        <item x="319"/>
        <item x="260"/>
        <item x="528"/>
        <item x="142"/>
        <item x="816"/>
        <item x="329"/>
        <item x="91"/>
        <item x="746"/>
        <item x="741"/>
        <item x="761"/>
        <item x="618"/>
        <item x="189"/>
        <item x="800"/>
        <item x="668"/>
        <item x="287"/>
        <item x="149"/>
        <item x="245"/>
        <item x="331"/>
        <item x="854"/>
        <item x="105"/>
        <item x="657"/>
        <item x="793"/>
        <item x="451"/>
        <item x="566"/>
        <item x="638"/>
        <item x="676"/>
        <item x="750"/>
        <item x="190"/>
        <item x="583"/>
        <item x="58"/>
        <item x="15"/>
        <item x="783"/>
        <item x="599"/>
        <item x="294"/>
        <item x="598"/>
        <item x="153"/>
        <item x="334"/>
        <item x="620"/>
        <item x="108"/>
        <item x="720"/>
        <item x="202"/>
        <item x="672"/>
        <item x="623"/>
        <item x="768"/>
        <item x="543"/>
        <item x="361"/>
        <item x="584"/>
        <item x="275"/>
        <item x="156"/>
        <item x="326"/>
        <item x="775"/>
        <item x="675"/>
        <item x="586"/>
        <item x="54"/>
        <item x="614"/>
        <item x="109"/>
        <item x="438"/>
        <item x="804"/>
        <item x="728"/>
        <item x="449"/>
        <item x="536"/>
        <item x="154"/>
        <item x="228"/>
        <item x="88"/>
        <item x="28"/>
        <item x="500"/>
        <item x="388"/>
        <item x="789"/>
        <item x="327"/>
        <item x="870"/>
        <item x="175"/>
        <item x="508"/>
        <item x="607"/>
        <item x="852"/>
        <item x="311"/>
        <item x="24"/>
        <item x="809"/>
        <item x="712"/>
        <item x="461"/>
        <item x="236"/>
        <item x="383"/>
        <item x="380"/>
        <item x="135"/>
        <item x="308"/>
        <item x="276"/>
        <item x="458"/>
        <item x="696"/>
        <item x="278"/>
        <item x="690"/>
        <item x="402"/>
        <item x="479"/>
        <item x="117"/>
        <item x="99"/>
        <item x="40"/>
        <item x="435"/>
        <item x="576"/>
        <item x="429"/>
        <item x="764"/>
        <item x="812"/>
        <item x="844"/>
        <item x="658"/>
        <item x="159"/>
        <item x="94"/>
        <item x="48"/>
        <item x="193"/>
        <item x="570"/>
        <item x="568"/>
        <item x="613"/>
        <item x="89"/>
        <item x="431"/>
        <item x="585"/>
        <item x="288"/>
        <item x="466"/>
        <item x="681"/>
        <item x="284"/>
        <item x="474"/>
        <item x="115"/>
        <item x="529"/>
        <item x="464"/>
        <item x="769"/>
        <item x="328"/>
        <item x="815"/>
        <item x="75"/>
        <item x="33"/>
        <item x="37"/>
        <item x="587"/>
        <item x="670"/>
        <item x="549"/>
        <item x="348"/>
        <item x="580"/>
        <item x="199"/>
        <item x="699"/>
        <item x="266"/>
        <item x="444"/>
        <item x="501"/>
        <item x="574"/>
        <item x="50"/>
        <item x="459"/>
        <item x="467"/>
        <item x="541"/>
        <item x="167"/>
        <item x="272"/>
        <item x="134"/>
        <item x="488"/>
        <item x="397"/>
        <item x="666"/>
        <item x="375"/>
        <item x="215"/>
        <item x="857"/>
        <item x="711"/>
        <item x="76"/>
        <item x="204"/>
        <item x="133"/>
        <item x="732"/>
        <item x="416"/>
        <item x="478"/>
        <item x="462"/>
        <item x="628"/>
        <item x="409"/>
        <item x="820"/>
        <item x="861"/>
        <item x="725"/>
        <item x="337"/>
        <item x="516"/>
        <item x="662"/>
        <item x="455"/>
        <item x="368"/>
        <item x="833"/>
        <item x="120"/>
        <item x="158"/>
        <item x="517"/>
        <item x="356"/>
        <item x="6"/>
        <item x="341"/>
        <item x="579"/>
        <item x="197"/>
        <item x="366"/>
        <item x="717"/>
        <item x="602"/>
        <item x="352"/>
        <item x="848"/>
        <item x="103"/>
        <item x="218"/>
        <item x="393"/>
        <item x="689"/>
        <item x="419"/>
        <item x="10"/>
        <item x="661"/>
        <item x="45"/>
        <item x="17"/>
        <item x="52"/>
        <item x="453"/>
        <item x="271"/>
        <item x="617"/>
        <item x="751"/>
        <item x="774"/>
        <item x="708"/>
        <item x="771"/>
        <item x="130"/>
        <item x="858"/>
        <item x="216"/>
        <item x="227"/>
        <item x="819"/>
        <item x="559"/>
        <item x="701"/>
        <item x="496"/>
        <item x="342"/>
        <item x="183"/>
        <item x="640"/>
        <item x="30"/>
        <item x="798"/>
        <item x="112"/>
        <item x="421"/>
        <item x="441"/>
        <item x="279"/>
        <item x="494"/>
        <item x="862"/>
        <item x="141"/>
        <item x="663"/>
        <item x="313"/>
        <item x="107"/>
        <item x="481"/>
        <item x="201"/>
        <item x="456"/>
        <item x="235"/>
        <item x="707"/>
        <item x="246"/>
        <item x="660"/>
        <item x="51"/>
        <item x="123"/>
        <item x="463"/>
        <item x="155"/>
        <item x="87"/>
        <item x="573"/>
        <item x="490"/>
        <item x="122"/>
        <item x="219"/>
        <item x="749"/>
        <item x="742"/>
        <item x="25"/>
        <item x="827"/>
        <item x="408"/>
        <item x="318"/>
        <item x="537"/>
        <item x="595"/>
        <item x="714"/>
        <item x="795"/>
        <item x="34"/>
        <item x="590"/>
        <item x="727"/>
        <item x="233"/>
        <item x="256"/>
        <item x="493"/>
        <item x="791"/>
        <item x="669"/>
        <item x="238"/>
        <item x="306"/>
        <item x="492"/>
        <item x="499"/>
        <item x="242"/>
        <item x="285"/>
        <item x="527"/>
        <item x="253"/>
        <item x="542"/>
        <item x="339"/>
        <item x="343"/>
        <item x="851"/>
        <item x="324"/>
        <item x="632"/>
        <item x="729"/>
        <item x="60"/>
        <item x="286"/>
        <item x="389"/>
        <item x="843"/>
        <item x="42"/>
        <item x="519"/>
        <item x="417"/>
        <item x="44"/>
        <item x="411"/>
        <item x="434"/>
        <item x="477"/>
        <item x="69"/>
        <item x="777"/>
        <item x="636"/>
        <item x="423"/>
        <item x="653"/>
        <item x="744"/>
        <item x="510"/>
        <item x="801"/>
        <item x="792"/>
        <item x="853"/>
        <item x="277"/>
        <item x="687"/>
        <item x="145"/>
        <item x="283"/>
        <item x="390"/>
        <item x="522"/>
        <item x="232"/>
        <item x="506"/>
        <item x="840"/>
        <item x="521"/>
        <item x="13"/>
        <item x="665"/>
        <item x="396"/>
        <item x="622"/>
        <item x="659"/>
        <item x="102"/>
        <item x="824"/>
        <item x="194"/>
        <item x="281"/>
        <item x="704"/>
        <item x="413"/>
        <item x="222"/>
        <item x="550"/>
        <item x="511"/>
        <item x="372"/>
        <item x="498"/>
        <item x="182"/>
        <item x="186"/>
        <item x="384"/>
        <item x="794"/>
        <item x="317"/>
        <item x="724"/>
        <item x="433"/>
        <item x="582"/>
        <item x="631"/>
        <item x="270"/>
        <item x="802"/>
        <item x="129"/>
        <item x="65"/>
        <item x="758"/>
        <item x="480"/>
        <item x="23"/>
        <item x="72"/>
        <item x="790"/>
        <item x="367"/>
        <item x="387"/>
        <item x="171"/>
        <item x="538"/>
        <item x="805"/>
        <item x="424"/>
        <item x="785"/>
        <item x="706"/>
        <item x="1"/>
        <item x="526"/>
        <item x="19"/>
        <item x="611"/>
        <item x="401"/>
        <item x="169"/>
        <item x="47"/>
        <item x="454"/>
        <item x="62"/>
        <item x="180"/>
        <item x="208"/>
        <item x="391"/>
        <item x="524"/>
        <item x="73"/>
        <item x="292"/>
        <item x="834"/>
        <item x="710"/>
        <item x="114"/>
        <item x="486"/>
        <item x="160"/>
        <item x="747"/>
        <item x="280"/>
        <item x="846"/>
        <item x="268"/>
        <item x="261"/>
        <item x="386"/>
        <item x="520"/>
        <item x="298"/>
        <item x="755"/>
        <item x="753"/>
        <item x="300"/>
        <item x="619"/>
        <item x="784"/>
        <item x="176"/>
        <item x="557"/>
        <item x="21"/>
        <item x="100"/>
        <item x="110"/>
        <item x="265"/>
        <item x="821"/>
        <item x="27"/>
        <item x="80"/>
        <item x="721"/>
        <item x="250"/>
        <item x="70"/>
        <item x="671"/>
        <item x="849"/>
        <item x="427"/>
        <item x="684"/>
        <item x="84"/>
        <item x="593"/>
        <item x="837"/>
        <item x="644"/>
        <item x="82"/>
        <item x="796"/>
        <item x="825"/>
        <item x="360"/>
        <item x="370"/>
        <item x="373"/>
        <item x="460"/>
        <item x="293"/>
        <item x="465"/>
        <item x="346"/>
        <item t="default"/>
      </items>
    </pivotField>
    <pivotField showAll="0"/>
    <pivotField showAll="0"/>
    <pivotField showAll="0"/>
    <pivotField showAll="0">
      <items count="3">
        <item x="1"/>
        <item x="0"/>
        <item t="default"/>
      </items>
    </pivotField>
    <pivotField showAll="0">
      <items count="7">
        <item x="2"/>
        <item x="0"/>
        <item x="1"/>
        <item x="5"/>
        <item x="3"/>
        <item x="4"/>
        <item t="default"/>
      </items>
    </pivotField>
    <pivotField showAll="0"/>
    <pivotField showAll="0"/>
    <pivotField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2">
        <item sd="0" x="0"/>
        <item sd="0" x="1"/>
        <item sd="0" x="2"/>
        <item sd="0" x="3"/>
        <item sd="0" x="4"/>
        <item sd="0" x="5"/>
        <item sd="0" x="6"/>
        <item sd="0" x="7"/>
        <item sd="0" x="8"/>
        <item sd="0" x="9"/>
        <item sd="0" x="10"/>
        <item t="default"/>
      </items>
    </pivotField>
  </pivotFields>
  <rowFields count="1">
    <field x="18"/>
  </rowFields>
  <rowItems count="10">
    <i>
      <x v="1"/>
    </i>
    <i>
      <x v="2"/>
    </i>
    <i>
      <x v="3"/>
    </i>
    <i>
      <x v="4"/>
    </i>
    <i>
      <x v="5"/>
    </i>
    <i>
      <x v="6"/>
    </i>
    <i>
      <x v="7"/>
    </i>
    <i>
      <x v="8"/>
    </i>
    <i>
      <x v="9"/>
    </i>
    <i t="grand">
      <x/>
    </i>
  </rowItems>
  <colItems count="1">
    <i/>
  </colItems>
  <dataFields count="1">
    <dataField name="Number Of Content Added" fld="6" subtotal="count" baseField="18" baseItem="1"/>
  </dataFields>
  <chartFormats count="2">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87BDC7F-201E-4954-B8DF-C5DF02A4F730}" autoFormatId="16" applyNumberFormats="0" applyBorderFormats="0" applyFontFormats="0" applyPatternFormats="0" applyAlignmentFormats="0" applyWidthHeightFormats="0">
  <queryTableRefresh nextId="23">
    <queryTableFields count="16">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17" name="Content_Aded" tableColumnId="7"/>
      <queryTableField id="8" name="Release_Year" tableColumnId="8"/>
      <queryTableField id="19" name="Maturity_Ratings" tableColumnId="9"/>
      <queryTableField id="10" name="Duration_Value" tableColumnId="10"/>
      <queryTableField id="11" name="Duration_Type" tableColumnId="11"/>
      <queryTableField id="12" name="Genres" tableColumnId="12"/>
      <queryTableField id="13" name="User_Rating" tableColumnId="13"/>
      <queryTableField id="14" name="Views_Millions" tableColumnId="14"/>
      <queryTableField id="15" name="Budget_Usd" tableColumnId="15"/>
      <queryTableField id="22" name="Category_Of_Ownership"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85A02798-660D-4A29-B3B8-05D4A09C6567}" sourceName="Type">
  <pivotTables>
    <pivotTable tabId="3" name="DFuration_Percentage"/>
    <pivotTable tabId="3" name="Avg_User_Ratings_By_Decades"/>
    <pivotTable tabId="3" name="Avg_View_Count_By_License"/>
    <pivotTable tabId="3" name="Category_Of_Ownership"/>
    <pivotTable tabId="3" name="Content_Addition_Overtime"/>
    <pivotTable tabId="3" name="Maturity_Ratings_Count"/>
    <pivotTable tabId="3" name="Budget"/>
    <pivotTable tabId="3" name="Total_Views"/>
    <pivotTable tabId="3" name="Production_Country"/>
    <pivotTable tabId="3" name="Total_Views_By_Genres"/>
  </pivotTables>
  <data>
    <tabular pivotCacheId="69934019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2EAA0BD-EDD7-49F3-9990-17C9E83A538D}" sourceName="Country">
  <pivotTables>
    <pivotTable tabId="3" name="DFuration_Percentage"/>
    <pivotTable tabId="3" name="Avg_User_Ratings_By_Decades"/>
    <pivotTable tabId="3" name="Avg_View_Count_By_License"/>
    <pivotTable tabId="3" name="Category_Of_Ownership"/>
    <pivotTable tabId="3" name="Content_Addition_Overtime"/>
    <pivotTable tabId="3" name="Maturity_Ratings_Count"/>
    <pivotTable tabId="3" name="Budget"/>
    <pivotTable tabId="3" name="Total_Views"/>
    <pivotTable tabId="3" name="Production_Country"/>
    <pivotTable tabId="3" name="Total_Views_By_Genres"/>
  </pivotTables>
  <data>
    <tabular pivotCacheId="699340197">
      <items count="8">
        <i x="2" s="1"/>
        <i x="5" s="1"/>
        <i x="4" s="1"/>
        <i x="6" s="1"/>
        <i x="0" s="1"/>
        <i x="1" s="1"/>
        <i x="3"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uration_Type" xr10:uid="{20F7CBF7-C191-4CC8-BDFA-8185BB6A2E14}" sourceName="Duration_Type">
  <pivotTables>
    <pivotTable tabId="3" name="DFuration_Percentage"/>
    <pivotTable tabId="3" name="Avg_User_Ratings_By_Decades"/>
    <pivotTable tabId="3" name="Avg_View_Count_By_License"/>
    <pivotTable tabId="3" name="Category_Of_Ownership"/>
    <pivotTable tabId="3" name="Content_Addition_Overtime"/>
    <pivotTable tabId="3" name="Maturity_Ratings_Count"/>
    <pivotTable tabId="3" name="Budget"/>
    <pivotTable tabId="3" name="Total_Views"/>
    <pivotTable tabId="3" name="Production_Country"/>
    <pivotTable tabId="3" name="Total_Views_By_Genres"/>
  </pivotTables>
  <data>
    <tabular pivotCacheId="699340197">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s" xr10:uid="{21A88B1D-333B-4763-BE4F-C9ADE28C59CE}" sourceName="Genres">
  <pivotTables>
    <pivotTable tabId="3" name="DFuration_Percentage"/>
    <pivotTable tabId="3" name="Avg_User_Ratings_By_Decades"/>
    <pivotTable tabId="3" name="Avg_View_Count_By_License"/>
    <pivotTable tabId="3" name="Category_Of_Ownership"/>
    <pivotTable tabId="3" name="Content_Addition_Overtime"/>
    <pivotTable tabId="3" name="Maturity_Ratings_Count"/>
    <pivotTable tabId="3" name="Budget"/>
    <pivotTable tabId="3" name="Total_Views"/>
    <pivotTable tabId="3" name="Production_Country"/>
    <pivotTable tabId="3" name="Total_Views_By_Genres"/>
  </pivotTables>
  <data>
    <tabular pivotCacheId="699340197">
      <items count="6">
        <i x="2" s="1"/>
        <i x="0" s="1"/>
        <i x="1" s="1"/>
        <i x="5" s="1"/>
        <i x="3"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Of_Ownership" xr10:uid="{01185B50-37D7-49F3-A7FB-58149293C335}" sourceName="Category_Of_Ownership">
  <pivotTables>
    <pivotTable tabId="3" name="DFuration_Percentage"/>
    <pivotTable tabId="3" name="Avg_User_Ratings_By_Decades"/>
    <pivotTable tabId="3" name="Avg_View_Count_By_License"/>
    <pivotTable tabId="3" name="Category_Of_Ownership"/>
    <pivotTable tabId="3" name="Content_Addition_Overtime"/>
    <pivotTable tabId="3" name="Maturity_Ratings_Count"/>
    <pivotTable tabId="3" name="Budget"/>
    <pivotTable tabId="3" name="Total_Views"/>
    <pivotTable tabId="3" name="Production_Country"/>
    <pivotTable tabId="3" name="Total_Views_By_Genres"/>
  </pivotTables>
  <data>
    <tabular pivotCacheId="69934019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98FCE573-C8CE-4EAE-8946-0F3A6C8255B5}" cache="Slicer_Type" caption="Type" rowHeight="234950"/>
  <slicer name="Country" xr10:uid="{6A3994E7-0914-4968-9A33-1961ADF2FBD6}" cache="Slicer_Country" caption="Country" columnCount="2" rowHeight="234950"/>
  <slicer name="Duration_Type" xr10:uid="{DFE0BA25-19F4-4674-A1D5-E4AE46EF7A5D}" cache="Slicer_Duration_Type" caption="Duration_Type" rowHeight="234950"/>
  <slicer name="Genres" xr10:uid="{AE44AC7F-C0CD-46FE-AB03-DEA8FD772D42}" cache="Slicer_Genres" caption="Genres" columnCount="2" rowHeight="234950"/>
  <slicer name="Category_Of_Ownership" xr10:uid="{3DEC883B-90FB-4E72-B653-2A0C7033316B}" cache="Slicer_Category_Of_Ownership" caption="Category_Of_Ownership"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1" xr10:uid="{220F9081-DEB8-4DB8-B0A6-1382C4FA8F2D}" cache="Slicer_Type" caption="Type" style="Dashboard_Slicer" lockedPosition="1" rowHeight="234950"/>
  <slicer name="Country 1" xr10:uid="{674F1910-9699-43EB-B5D3-B11BDD5DE88A}" cache="Slicer_Country" caption="Country" columnCount="2" style="Dashboard_Slicer" lockedPosition="1" rowHeight="234950"/>
  <slicer name="Duration_Type 1" xr10:uid="{3A67866C-67A0-4A29-92C0-D76AE9B80FF9}" cache="Slicer_Duration_Type" caption="Duration_Type" style="Dashboard_Slicer" lockedPosition="1" rowHeight="234950"/>
  <slicer name="Genres 1" xr10:uid="{79EBFAEC-3D2A-4C44-B642-BF328A00A1D6}" cache="Slicer_Genres" caption="Genres" style="Dashboard_Slicer" lockedPosition="1" rowHeight="234950"/>
  <slicer name="Category_Of_Ownership 1" xr10:uid="{330C0E26-D945-445A-9489-E3D04B509B6D}" cache="Slicer_Category_Of_Ownership" caption="Category_Of_Ownership" style="Dashboard_Slicer" lockedPosition="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9F2641-19A7-4715-A716-E52E4E7933A0}" name="Ott_Raw_Data" displayName="Ott_Raw_Data" ref="A1:P1001" tableType="queryTable" totalsRowShown="0" headerRowDxfId="23" dataDxfId="22">
  <autoFilter ref="A1:P1001" xr:uid="{1B9F2641-19A7-4715-A716-E52E4E7933A0}">
    <filterColumn colId="1">
      <filters>
        <filter val="Tv Show"/>
      </filters>
    </filterColumn>
  </autoFilter>
  <tableColumns count="16">
    <tableColumn id="1" xr3:uid="{EF8A402B-566F-4449-941E-4927E3CEA033}" uniqueName="1" name="Show_Id" queryTableFieldId="1" dataDxfId="21"/>
    <tableColumn id="2" xr3:uid="{63FDD70B-96FC-41BE-8CE4-8E6A8FD56E11}" uniqueName="2" name="Type" queryTableFieldId="2" dataDxfId="20"/>
    <tableColumn id="3" xr3:uid="{EF4B1A6E-FC9E-40B8-A522-8414E4772B53}" uniqueName="3" name="Title" queryTableFieldId="3" dataDxfId="19"/>
    <tableColumn id="4" xr3:uid="{64A28F79-BC87-41FA-81A3-17DED263CB22}" uniqueName="4" name="Director" queryTableFieldId="4" dataDxfId="18"/>
    <tableColumn id="5" xr3:uid="{7175EE59-4233-4053-A5F7-C332E59F1C3A}" uniqueName="5" name="Cast" queryTableFieldId="5" dataDxfId="17"/>
    <tableColumn id="6" xr3:uid="{3D009D92-2679-472E-A3D4-0815CAA84D84}" uniqueName="6" name="Country" queryTableFieldId="6" dataDxfId="16"/>
    <tableColumn id="7" xr3:uid="{607933D7-26FD-4749-83C5-C24773D3A74D}" uniqueName="7" name="Content_Aded" queryTableFieldId="17" dataDxfId="15"/>
    <tableColumn id="8" xr3:uid="{EC2A5E07-4A3E-4432-B354-235F243B5D3B}" uniqueName="8" name="Release_Year" queryTableFieldId="8" dataDxfId="14"/>
    <tableColumn id="9" xr3:uid="{C67C000A-D322-4D47-8705-2C8543E00273}" uniqueName="9" name="Maturity_Ratings" queryTableFieldId="19" dataDxfId="13"/>
    <tableColumn id="10" xr3:uid="{304B570E-792E-4EA8-A047-52F0B2637CE6}" uniqueName="10" name="Duration_Value" queryTableFieldId="10" dataDxfId="12"/>
    <tableColumn id="11" xr3:uid="{AE7935E3-BD75-4777-9ADB-95442C7D0A9C}" uniqueName="11" name="Duration_Type" queryTableFieldId="11" dataDxfId="11"/>
    <tableColumn id="12" xr3:uid="{EB421EA7-A225-473C-9DA0-0569D8574B46}" uniqueName="12" name="Genres" queryTableFieldId="12" dataDxfId="10"/>
    <tableColumn id="13" xr3:uid="{B215DD72-5925-4D1B-A79F-DB9346961D30}" uniqueName="13" name="User_Rating" queryTableFieldId="13" dataDxfId="9"/>
    <tableColumn id="14" xr3:uid="{566DC3C4-2177-4364-AC34-BDC5D5E78779}" uniqueName="14" name="Views_Millions" queryTableFieldId="14" dataDxfId="8"/>
    <tableColumn id="15" xr3:uid="{0D7A416C-A767-41A3-8690-39D01EE6EF4D}" uniqueName="15" name="Budget_Usd" queryTableFieldId="15" dataDxfId="7"/>
    <tableColumn id="17" xr3:uid="{A9AFFE8D-EDB6-41B7-9DC5-AE85A8FEEB27}" uniqueName="17" name="Category_Of_Ownership" queryTableFieldId="22" dataDxf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ontent_Aded" xr10:uid="{A7D4D3E4-4DDD-460A-817E-7334EA784583}" sourceName="Content_Aded">
  <pivotTables>
    <pivotTable tabId="3" name="DFuration_Percentage"/>
    <pivotTable tabId="3" name="Avg_User_Ratings_By_Decades"/>
    <pivotTable tabId="3" name="Avg_View_Count_By_License"/>
    <pivotTable tabId="3" name="Category_Of_Ownership"/>
    <pivotTable tabId="3" name="Content_Addition_Overtime"/>
    <pivotTable tabId="3" name="Maturity_Ratings_Count"/>
    <pivotTable tabId="3" name="Budget"/>
    <pivotTable tabId="3" name="Total_Views"/>
    <pivotTable tabId="3" name="Production_Country"/>
    <pivotTable tabId="3" name="Total_Views_By_Genres"/>
  </pivotTables>
  <state minimalRefreshVersion="6" lastRefreshVersion="6" pivotCacheId="699340197" filterType="unknown">
    <bounds startDate="2015-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ontent_Aded" xr10:uid="{C79B7FCB-AB63-429D-984E-85FCBB2C1015}" cache="NativeTimeline_Content_Aded" caption="Content_Aded" level="2" selectionLevel="2" scrollPosition="2023-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11/relationships/timeline" Target="../timelines/timelin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68D36-9D45-4854-AA9B-EF2A1CAD87AE}">
  <sheetPr>
    <tabColor theme="7" tint="0.39997558519241921"/>
  </sheetPr>
  <dimension ref="A1:P1001"/>
  <sheetViews>
    <sheetView workbookViewId="0">
      <selection sqref="A1:P1001"/>
    </sheetView>
  </sheetViews>
  <sheetFormatPr defaultRowHeight="14.4" x14ac:dyDescent="0.3"/>
  <cols>
    <col min="1" max="1" width="12.77734375" bestFit="1" customWidth="1"/>
    <col min="2" max="2" width="9.5546875" bestFit="1" customWidth="1"/>
    <col min="3" max="3" width="17" bestFit="1" customWidth="1"/>
    <col min="4" max="4" width="15.88671875" bestFit="1" customWidth="1"/>
    <col min="5" max="5" width="47.77734375" bestFit="1" customWidth="1"/>
    <col min="6" max="6" width="19.109375" bestFit="1" customWidth="1"/>
    <col min="7" max="7" width="15.5546875" bestFit="1" customWidth="1"/>
    <col min="8" max="8" width="16.44140625" bestFit="1" customWidth="1"/>
    <col min="9" max="9" width="17.77734375" bestFit="1" customWidth="1"/>
    <col min="10" max="10" width="18.6640625" bestFit="1" customWidth="1"/>
    <col min="11" max="11" width="18" bestFit="1" customWidth="1"/>
    <col min="12" max="12" width="29.5546875" bestFit="1" customWidth="1"/>
    <col min="13" max="13" width="15.5546875" bestFit="1" customWidth="1"/>
    <col min="14" max="14" width="18" bestFit="1" customWidth="1"/>
    <col min="15" max="15" width="15.6640625" bestFit="1" customWidth="1"/>
    <col min="16" max="16" width="24.109375" bestFit="1" customWidth="1"/>
    <col min="17" max="17" width="23" bestFit="1" customWidth="1"/>
    <col min="18" max="20" width="14.21875" bestFit="1" customWidth="1"/>
  </cols>
  <sheetData>
    <row r="1" spans="1:16" x14ac:dyDescent="0.3">
      <c r="A1" s="2" t="s">
        <v>0</v>
      </c>
      <c r="B1" s="2" t="s">
        <v>1</v>
      </c>
      <c r="C1" s="2" t="s">
        <v>2</v>
      </c>
      <c r="D1" s="2" t="s">
        <v>3</v>
      </c>
      <c r="E1" s="2" t="s">
        <v>4</v>
      </c>
      <c r="F1" s="2" t="s">
        <v>5</v>
      </c>
      <c r="G1" t="s">
        <v>2267</v>
      </c>
      <c r="H1" s="2" t="s">
        <v>6</v>
      </c>
      <c r="I1" t="s">
        <v>2280</v>
      </c>
      <c r="J1" s="2" t="s">
        <v>7</v>
      </c>
      <c r="K1" s="2" t="s">
        <v>8</v>
      </c>
      <c r="L1" s="2" t="s">
        <v>9</v>
      </c>
      <c r="M1" s="2" t="s">
        <v>10</v>
      </c>
      <c r="N1" s="2" t="s">
        <v>11</v>
      </c>
      <c r="O1" s="2" t="s">
        <v>12</v>
      </c>
      <c r="P1" t="s">
        <v>2283</v>
      </c>
    </row>
    <row r="2" spans="1:16" x14ac:dyDescent="0.3">
      <c r="A2" s="1" t="s">
        <v>13</v>
      </c>
      <c r="B2" s="1" t="s">
        <v>14</v>
      </c>
      <c r="C2" s="1" t="s">
        <v>15</v>
      </c>
      <c r="D2" s="1" t="s">
        <v>16</v>
      </c>
      <c r="E2" s="1" t="s">
        <v>17</v>
      </c>
      <c r="F2" s="1" t="s">
        <v>18</v>
      </c>
      <c r="G2" s="6">
        <v>42550</v>
      </c>
      <c r="H2" s="1">
        <v>2014</v>
      </c>
      <c r="I2" t="s">
        <v>19</v>
      </c>
      <c r="J2" s="1">
        <v>5</v>
      </c>
      <c r="K2" s="1" t="s">
        <v>20</v>
      </c>
      <c r="L2" s="1" t="s">
        <v>21</v>
      </c>
      <c r="M2" s="1">
        <v>2.4</v>
      </c>
      <c r="N2" s="1">
        <v>54.89</v>
      </c>
      <c r="O2" s="1">
        <v>88451000</v>
      </c>
      <c r="P2" t="s">
        <v>2281</v>
      </c>
    </row>
    <row r="3" spans="1:16" hidden="1" x14ac:dyDescent="0.3">
      <c r="A3" s="1" t="s">
        <v>22</v>
      </c>
      <c r="B3" s="1" t="s">
        <v>37</v>
      </c>
      <c r="C3" s="1" t="s">
        <v>23</v>
      </c>
      <c r="D3" s="1" t="s">
        <v>24</v>
      </c>
      <c r="E3" s="1" t="s">
        <v>25</v>
      </c>
      <c r="F3" s="1" t="s">
        <v>26</v>
      </c>
      <c r="G3" s="6">
        <v>45054</v>
      </c>
      <c r="H3" s="1">
        <v>1993</v>
      </c>
      <c r="I3" t="s">
        <v>27</v>
      </c>
      <c r="J3" s="1">
        <v>140</v>
      </c>
      <c r="K3" s="1" t="s">
        <v>28</v>
      </c>
      <c r="L3" s="1" t="s">
        <v>21</v>
      </c>
      <c r="M3" s="1">
        <v>5.8</v>
      </c>
      <c r="N3" s="1">
        <v>137.09</v>
      </c>
      <c r="O3" s="1">
        <v>59729000</v>
      </c>
      <c r="P3" t="s">
        <v>2281</v>
      </c>
    </row>
    <row r="4" spans="1:16" x14ac:dyDescent="0.3">
      <c r="A4" s="1" t="s">
        <v>29</v>
      </c>
      <c r="B4" s="1" t="s">
        <v>14</v>
      </c>
      <c r="C4" s="1" t="s">
        <v>30</v>
      </c>
      <c r="D4" s="1" t="s">
        <v>31</v>
      </c>
      <c r="E4" s="1" t="s">
        <v>32</v>
      </c>
      <c r="F4" s="1" t="s">
        <v>33</v>
      </c>
      <c r="G4" s="6">
        <v>43117</v>
      </c>
      <c r="H4" s="1">
        <v>2000</v>
      </c>
      <c r="I4" t="s">
        <v>34</v>
      </c>
      <c r="J4" s="1">
        <v>4</v>
      </c>
      <c r="K4" s="1" t="s">
        <v>20</v>
      </c>
      <c r="L4" s="1" t="s">
        <v>35</v>
      </c>
      <c r="M4" s="1">
        <v>2.2999999999999998</v>
      </c>
      <c r="N4" s="1">
        <v>32.69</v>
      </c>
      <c r="O4" s="1">
        <v>45512000</v>
      </c>
      <c r="P4" t="s">
        <v>2281</v>
      </c>
    </row>
    <row r="5" spans="1:16" hidden="1" x14ac:dyDescent="0.3">
      <c r="A5" s="1" t="s">
        <v>36</v>
      </c>
      <c r="B5" s="1" t="s">
        <v>37</v>
      </c>
      <c r="C5" s="1" t="s">
        <v>38</v>
      </c>
      <c r="D5" s="1" t="s">
        <v>39</v>
      </c>
      <c r="E5" s="1" t="s">
        <v>40</v>
      </c>
      <c r="F5" s="1" t="s">
        <v>33</v>
      </c>
      <c r="G5" s="6">
        <v>42597</v>
      </c>
      <c r="H5" s="1">
        <v>2013</v>
      </c>
      <c r="I5" t="s">
        <v>27</v>
      </c>
      <c r="J5" s="1">
        <v>180</v>
      </c>
      <c r="K5" s="1" t="s">
        <v>28</v>
      </c>
      <c r="L5" s="1" t="s">
        <v>41</v>
      </c>
      <c r="M5" s="1">
        <v>5.0999999999999996</v>
      </c>
      <c r="N5" s="1">
        <v>107.85</v>
      </c>
      <c r="O5" s="1">
        <v>97146000</v>
      </c>
      <c r="P5" t="s">
        <v>2281</v>
      </c>
    </row>
    <row r="6" spans="1:16" x14ac:dyDescent="0.3">
      <c r="A6" s="1" t="s">
        <v>42</v>
      </c>
      <c r="B6" s="1" t="s">
        <v>14</v>
      </c>
      <c r="C6" s="1" t="s">
        <v>43</v>
      </c>
      <c r="D6" s="1" t="s">
        <v>24</v>
      </c>
      <c r="E6" s="1" t="s">
        <v>44</v>
      </c>
      <c r="F6" s="1" t="s">
        <v>45</v>
      </c>
      <c r="G6" s="6">
        <v>42506</v>
      </c>
      <c r="H6" s="1">
        <v>2009</v>
      </c>
      <c r="I6" t="s">
        <v>34</v>
      </c>
      <c r="J6" s="1">
        <v>9</v>
      </c>
      <c r="K6" s="1" t="s">
        <v>20</v>
      </c>
      <c r="L6" s="1" t="s">
        <v>46</v>
      </c>
      <c r="M6" s="1">
        <v>2</v>
      </c>
      <c r="N6" s="1">
        <v>141.65</v>
      </c>
      <c r="O6" s="1">
        <v>48429000</v>
      </c>
      <c r="P6" t="s">
        <v>2282</v>
      </c>
    </row>
    <row r="7" spans="1:16" hidden="1" x14ac:dyDescent="0.3">
      <c r="A7" s="1" t="s">
        <v>47</v>
      </c>
      <c r="B7" s="1" t="s">
        <v>37</v>
      </c>
      <c r="C7" s="1" t="s">
        <v>48</v>
      </c>
      <c r="D7" s="1" t="s">
        <v>49</v>
      </c>
      <c r="E7" s="1" t="s">
        <v>50</v>
      </c>
      <c r="F7" s="1" t="s">
        <v>51</v>
      </c>
      <c r="G7" s="6">
        <v>42962</v>
      </c>
      <c r="H7" s="1">
        <v>2020</v>
      </c>
      <c r="I7" t="s">
        <v>34</v>
      </c>
      <c r="J7" s="1">
        <v>180</v>
      </c>
      <c r="K7" s="1" t="s">
        <v>28</v>
      </c>
      <c r="L7" s="1" t="s">
        <v>52</v>
      </c>
      <c r="M7" s="1">
        <v>6</v>
      </c>
      <c r="N7" s="1">
        <v>3.56</v>
      </c>
      <c r="O7" s="1">
        <v>54516000</v>
      </c>
      <c r="P7" t="s">
        <v>2281</v>
      </c>
    </row>
    <row r="8" spans="1:16" hidden="1" x14ac:dyDescent="0.3">
      <c r="A8" s="1" t="s">
        <v>53</v>
      </c>
      <c r="B8" s="1" t="s">
        <v>37</v>
      </c>
      <c r="C8" s="1" t="s">
        <v>54</v>
      </c>
      <c r="D8" s="1" t="s">
        <v>49</v>
      </c>
      <c r="E8" s="1" t="s">
        <v>17</v>
      </c>
      <c r="F8" s="1" t="s">
        <v>33</v>
      </c>
      <c r="G8" s="6">
        <v>44458</v>
      </c>
      <c r="H8" s="1">
        <v>2002</v>
      </c>
      <c r="I8" t="s">
        <v>55</v>
      </c>
      <c r="J8" s="1">
        <v>169</v>
      </c>
      <c r="K8" s="1" t="s">
        <v>28</v>
      </c>
      <c r="L8" s="1" t="s">
        <v>46</v>
      </c>
      <c r="M8" s="1">
        <v>7.2</v>
      </c>
      <c r="N8" s="1">
        <v>51.81</v>
      </c>
      <c r="O8" s="1">
        <v>5602000</v>
      </c>
      <c r="P8" t="s">
        <v>2282</v>
      </c>
    </row>
    <row r="9" spans="1:16" hidden="1" x14ac:dyDescent="0.3">
      <c r="A9" s="1" t="s">
        <v>56</v>
      </c>
      <c r="B9" s="1" t="s">
        <v>37</v>
      </c>
      <c r="C9" s="1" t="s">
        <v>57</v>
      </c>
      <c r="D9" s="1" t="s">
        <v>39</v>
      </c>
      <c r="E9" s="1" t="s">
        <v>58</v>
      </c>
      <c r="F9" s="1" t="s">
        <v>59</v>
      </c>
      <c r="G9" s="6">
        <v>43353</v>
      </c>
      <c r="H9" s="1">
        <v>2020</v>
      </c>
      <c r="I9" t="s">
        <v>27</v>
      </c>
      <c r="J9" s="1">
        <v>143</v>
      </c>
      <c r="K9" s="1" t="s">
        <v>28</v>
      </c>
      <c r="L9" s="1" t="s">
        <v>41</v>
      </c>
      <c r="M9" s="1">
        <v>5.2</v>
      </c>
      <c r="N9" s="1">
        <v>69.790000000000006</v>
      </c>
      <c r="O9" s="1">
        <v>27530000</v>
      </c>
      <c r="P9" t="s">
        <v>2282</v>
      </c>
    </row>
    <row r="10" spans="1:16" hidden="1" x14ac:dyDescent="0.3">
      <c r="A10" s="1" t="s">
        <v>60</v>
      </c>
      <c r="B10" s="1" t="s">
        <v>37</v>
      </c>
      <c r="C10" s="1" t="s">
        <v>61</v>
      </c>
      <c r="D10" s="1" t="s">
        <v>62</v>
      </c>
      <c r="E10" s="1" t="s">
        <v>63</v>
      </c>
      <c r="F10" s="1" t="s">
        <v>51</v>
      </c>
      <c r="G10" s="6">
        <v>42773</v>
      </c>
      <c r="H10" s="1">
        <v>2004</v>
      </c>
      <c r="I10" t="s">
        <v>55</v>
      </c>
      <c r="J10" s="1">
        <v>169</v>
      </c>
      <c r="K10" s="1" t="s">
        <v>28</v>
      </c>
      <c r="L10" s="1" t="s">
        <v>35</v>
      </c>
      <c r="M10" s="1">
        <v>7.8</v>
      </c>
      <c r="N10" s="1">
        <v>128.91</v>
      </c>
      <c r="O10" s="1">
        <v>28367000</v>
      </c>
      <c r="P10" t="s">
        <v>2281</v>
      </c>
    </row>
    <row r="11" spans="1:16" x14ac:dyDescent="0.3">
      <c r="A11" s="1" t="s">
        <v>64</v>
      </c>
      <c r="B11" s="1" t="s">
        <v>14</v>
      </c>
      <c r="C11" s="1" t="s">
        <v>65</v>
      </c>
      <c r="D11" s="1" t="s">
        <v>31</v>
      </c>
      <c r="E11" s="1" t="s">
        <v>66</v>
      </c>
      <c r="F11" s="1" t="s">
        <v>26</v>
      </c>
      <c r="G11" s="6">
        <v>43230</v>
      </c>
      <c r="H11" s="1">
        <v>2010</v>
      </c>
      <c r="I11" t="s">
        <v>27</v>
      </c>
      <c r="J11" s="1">
        <v>5</v>
      </c>
      <c r="K11" s="1" t="s">
        <v>20</v>
      </c>
      <c r="L11" s="1" t="s">
        <v>35</v>
      </c>
      <c r="M11" s="1">
        <v>8.4</v>
      </c>
      <c r="N11" s="1">
        <v>40.659999999999997</v>
      </c>
      <c r="O11" s="1">
        <v>43556000</v>
      </c>
      <c r="P11" t="s">
        <v>2282</v>
      </c>
    </row>
    <row r="12" spans="1:16" x14ac:dyDescent="0.3">
      <c r="A12" s="1" t="s">
        <v>67</v>
      </c>
      <c r="B12" s="1" t="s">
        <v>14</v>
      </c>
      <c r="C12" s="1" t="s">
        <v>68</v>
      </c>
      <c r="D12" s="1" t="s">
        <v>39</v>
      </c>
      <c r="E12" s="1" t="s">
        <v>63</v>
      </c>
      <c r="F12" s="1" t="s">
        <v>59</v>
      </c>
      <c r="G12" s="6">
        <v>44501</v>
      </c>
      <c r="H12" s="1">
        <v>1990</v>
      </c>
      <c r="I12" t="s">
        <v>55</v>
      </c>
      <c r="J12" s="1">
        <v>3</v>
      </c>
      <c r="K12" s="1" t="s">
        <v>20</v>
      </c>
      <c r="L12" s="1" t="s">
        <v>69</v>
      </c>
      <c r="M12" s="1">
        <v>3.4</v>
      </c>
      <c r="N12" s="1">
        <v>129.69999999999999</v>
      </c>
      <c r="O12" s="1">
        <v>24662000</v>
      </c>
      <c r="P12" t="s">
        <v>2282</v>
      </c>
    </row>
    <row r="13" spans="1:16" hidden="1" x14ac:dyDescent="0.3">
      <c r="A13" s="1" t="s">
        <v>70</v>
      </c>
      <c r="B13" s="1" t="s">
        <v>37</v>
      </c>
      <c r="C13" s="1" t="s">
        <v>71</v>
      </c>
      <c r="D13" s="1" t="s">
        <v>72</v>
      </c>
      <c r="E13" s="1" t="s">
        <v>63</v>
      </c>
      <c r="F13" s="1" t="s">
        <v>59</v>
      </c>
      <c r="G13" s="6">
        <v>42273</v>
      </c>
      <c r="H13" s="1">
        <v>2013</v>
      </c>
      <c r="I13" t="s">
        <v>27</v>
      </c>
      <c r="J13" s="1">
        <v>155</v>
      </c>
      <c r="K13" s="1" t="s">
        <v>28</v>
      </c>
      <c r="L13" s="1" t="s">
        <v>41</v>
      </c>
      <c r="M13" s="1">
        <v>2.7</v>
      </c>
      <c r="N13" s="1">
        <v>84.86</v>
      </c>
      <c r="O13" s="1">
        <v>92524000</v>
      </c>
      <c r="P13" t="s">
        <v>2282</v>
      </c>
    </row>
    <row r="14" spans="1:16" hidden="1" x14ac:dyDescent="0.3">
      <c r="A14" s="1" t="s">
        <v>73</v>
      </c>
      <c r="B14" s="1" t="s">
        <v>37</v>
      </c>
      <c r="C14" s="1" t="s">
        <v>74</v>
      </c>
      <c r="D14" s="1" t="s">
        <v>72</v>
      </c>
      <c r="E14" s="1" t="s">
        <v>75</v>
      </c>
      <c r="F14" s="1" t="s">
        <v>76</v>
      </c>
      <c r="G14" s="6">
        <v>42465</v>
      </c>
      <c r="H14" s="1">
        <v>2017</v>
      </c>
      <c r="I14" t="s">
        <v>77</v>
      </c>
      <c r="J14" s="1">
        <v>180</v>
      </c>
      <c r="K14" s="1" t="s">
        <v>28</v>
      </c>
      <c r="L14" s="1" t="s">
        <v>35</v>
      </c>
      <c r="M14" s="1">
        <v>7.9</v>
      </c>
      <c r="N14" s="1">
        <v>6.83</v>
      </c>
      <c r="O14" s="1">
        <v>93700000</v>
      </c>
      <c r="P14" t="s">
        <v>2281</v>
      </c>
    </row>
    <row r="15" spans="1:16" x14ac:dyDescent="0.3">
      <c r="A15" s="1" t="s">
        <v>78</v>
      </c>
      <c r="B15" s="1" t="s">
        <v>14</v>
      </c>
      <c r="C15" s="1" t="s">
        <v>79</v>
      </c>
      <c r="D15" s="1" t="s">
        <v>24</v>
      </c>
      <c r="E15" s="1" t="s">
        <v>80</v>
      </c>
      <c r="F15" s="1" t="s">
        <v>45</v>
      </c>
      <c r="G15" s="6">
        <v>44891</v>
      </c>
      <c r="H15" s="1">
        <v>2021</v>
      </c>
      <c r="I15" t="s">
        <v>55</v>
      </c>
      <c r="J15" s="1">
        <v>2</v>
      </c>
      <c r="K15" s="1" t="s">
        <v>20</v>
      </c>
      <c r="L15" s="1" t="s">
        <v>21</v>
      </c>
      <c r="M15" s="1">
        <v>1.1000000000000001</v>
      </c>
      <c r="N15" s="1">
        <v>92.46</v>
      </c>
      <c r="O15" s="1">
        <v>5279000</v>
      </c>
      <c r="P15" t="s">
        <v>2282</v>
      </c>
    </row>
    <row r="16" spans="1:16" x14ac:dyDescent="0.3">
      <c r="A16" s="1" t="s">
        <v>81</v>
      </c>
      <c r="B16" s="1" t="s">
        <v>14</v>
      </c>
      <c r="C16" s="1" t="s">
        <v>82</v>
      </c>
      <c r="D16" s="1" t="s">
        <v>62</v>
      </c>
      <c r="E16" s="1" t="s">
        <v>83</v>
      </c>
      <c r="F16" s="1" t="s">
        <v>76</v>
      </c>
      <c r="G16" s="6">
        <v>43098</v>
      </c>
      <c r="H16" s="1">
        <v>2021</v>
      </c>
      <c r="I16" t="s">
        <v>34</v>
      </c>
      <c r="J16" s="1">
        <v>1</v>
      </c>
      <c r="K16" s="1" t="s">
        <v>20</v>
      </c>
      <c r="L16" s="1" t="s">
        <v>41</v>
      </c>
      <c r="M16" s="1">
        <v>9.3000000000000007</v>
      </c>
      <c r="N16" s="1">
        <v>69.94</v>
      </c>
      <c r="O16" s="1">
        <v>85953000</v>
      </c>
      <c r="P16" t="s">
        <v>2281</v>
      </c>
    </row>
    <row r="17" spans="1:16" hidden="1" x14ac:dyDescent="0.3">
      <c r="A17" s="1" t="s">
        <v>84</v>
      </c>
      <c r="B17" s="1" t="s">
        <v>37</v>
      </c>
      <c r="C17" s="1" t="s">
        <v>85</v>
      </c>
      <c r="D17" s="1" t="s">
        <v>16</v>
      </c>
      <c r="E17" s="1" t="s">
        <v>75</v>
      </c>
      <c r="F17" s="1" t="s">
        <v>26</v>
      </c>
      <c r="G17" s="6">
        <v>43919</v>
      </c>
      <c r="H17" s="1">
        <v>2007</v>
      </c>
      <c r="I17" t="s">
        <v>34</v>
      </c>
      <c r="J17" s="1">
        <v>155</v>
      </c>
      <c r="K17" s="1" t="s">
        <v>28</v>
      </c>
      <c r="L17" s="1" t="s">
        <v>41</v>
      </c>
      <c r="M17" s="1">
        <v>5.5</v>
      </c>
      <c r="N17" s="1">
        <v>17.04</v>
      </c>
      <c r="O17" s="1">
        <v>23317000</v>
      </c>
      <c r="P17" t="s">
        <v>2282</v>
      </c>
    </row>
    <row r="18" spans="1:16" hidden="1" x14ac:dyDescent="0.3">
      <c r="A18" s="1" t="s">
        <v>86</v>
      </c>
      <c r="B18" s="1" t="s">
        <v>37</v>
      </c>
      <c r="C18" s="1" t="s">
        <v>87</v>
      </c>
      <c r="D18" s="1" t="s">
        <v>24</v>
      </c>
      <c r="E18" s="1" t="s">
        <v>88</v>
      </c>
      <c r="F18" s="1" t="s">
        <v>59</v>
      </c>
      <c r="G18" s="6">
        <v>42088</v>
      </c>
      <c r="H18" s="1">
        <v>2008</v>
      </c>
      <c r="I18" t="s">
        <v>89</v>
      </c>
      <c r="J18" s="1">
        <v>123</v>
      </c>
      <c r="K18" s="1" t="s">
        <v>28</v>
      </c>
      <c r="L18" s="1" t="s">
        <v>35</v>
      </c>
      <c r="M18" s="1">
        <v>3.5</v>
      </c>
      <c r="N18" s="1">
        <v>106.71</v>
      </c>
      <c r="O18" s="1">
        <v>73412000</v>
      </c>
      <c r="P18" t="s">
        <v>2281</v>
      </c>
    </row>
    <row r="19" spans="1:16" hidden="1" x14ac:dyDescent="0.3">
      <c r="A19" s="1" t="s">
        <v>90</v>
      </c>
      <c r="B19" s="1" t="s">
        <v>37</v>
      </c>
      <c r="C19" s="1" t="s">
        <v>91</v>
      </c>
      <c r="D19" s="1" t="s">
        <v>24</v>
      </c>
      <c r="E19" s="1" t="s">
        <v>92</v>
      </c>
      <c r="F19" s="1" t="s">
        <v>33</v>
      </c>
      <c r="G19" s="6">
        <v>44506</v>
      </c>
      <c r="H19" s="1">
        <v>2011</v>
      </c>
      <c r="I19" t="s">
        <v>19</v>
      </c>
      <c r="J19" s="1">
        <v>167</v>
      </c>
      <c r="K19" s="1" t="s">
        <v>28</v>
      </c>
      <c r="L19" s="1" t="s">
        <v>52</v>
      </c>
      <c r="M19" s="1">
        <v>9</v>
      </c>
      <c r="N19" s="1">
        <v>105.52</v>
      </c>
      <c r="O19" s="1">
        <v>9191000</v>
      </c>
      <c r="P19" t="s">
        <v>2281</v>
      </c>
    </row>
    <row r="20" spans="1:16" x14ac:dyDescent="0.3">
      <c r="A20" s="1" t="s">
        <v>93</v>
      </c>
      <c r="B20" s="1" t="s">
        <v>14</v>
      </c>
      <c r="C20" s="1" t="s">
        <v>94</v>
      </c>
      <c r="D20" s="1" t="s">
        <v>49</v>
      </c>
      <c r="E20" s="1" t="s">
        <v>95</v>
      </c>
      <c r="F20" s="1" t="s">
        <v>26</v>
      </c>
      <c r="G20" s="6">
        <v>43738</v>
      </c>
      <c r="H20" s="1">
        <v>1991</v>
      </c>
      <c r="I20" t="s">
        <v>77</v>
      </c>
      <c r="J20" s="1">
        <v>6</v>
      </c>
      <c r="K20" s="1" t="s">
        <v>20</v>
      </c>
      <c r="L20" s="1" t="s">
        <v>35</v>
      </c>
      <c r="M20" s="1">
        <v>5.8</v>
      </c>
      <c r="N20" s="1">
        <v>81.88</v>
      </c>
      <c r="O20" s="1">
        <v>55885000</v>
      </c>
      <c r="P20" t="s">
        <v>2281</v>
      </c>
    </row>
    <row r="21" spans="1:16" hidden="1" x14ac:dyDescent="0.3">
      <c r="A21" s="1" t="s">
        <v>96</v>
      </c>
      <c r="B21" s="1" t="s">
        <v>37</v>
      </c>
      <c r="C21" s="1" t="s">
        <v>97</v>
      </c>
      <c r="D21" s="1" t="s">
        <v>72</v>
      </c>
      <c r="E21" s="1" t="s">
        <v>98</v>
      </c>
      <c r="F21" s="1" t="s">
        <v>45</v>
      </c>
      <c r="G21" s="6">
        <v>45060</v>
      </c>
      <c r="H21" s="1">
        <v>1990</v>
      </c>
      <c r="I21" t="s">
        <v>55</v>
      </c>
      <c r="J21" s="1">
        <v>84</v>
      </c>
      <c r="K21" s="1" t="s">
        <v>28</v>
      </c>
      <c r="L21" s="1" t="s">
        <v>52</v>
      </c>
      <c r="M21" s="1">
        <v>4.4000000000000004</v>
      </c>
      <c r="N21" s="1">
        <v>67.83</v>
      </c>
      <c r="O21" s="1">
        <v>63670000</v>
      </c>
      <c r="P21" t="s">
        <v>2282</v>
      </c>
    </row>
    <row r="22" spans="1:16" x14ac:dyDescent="0.3">
      <c r="A22" s="1" t="s">
        <v>99</v>
      </c>
      <c r="B22" s="1" t="s">
        <v>14</v>
      </c>
      <c r="C22" s="1" t="s">
        <v>100</v>
      </c>
      <c r="D22" s="1" t="s">
        <v>39</v>
      </c>
      <c r="E22" s="1" t="s">
        <v>101</v>
      </c>
      <c r="F22" s="1" t="s">
        <v>45</v>
      </c>
      <c r="G22" s="6">
        <v>43419</v>
      </c>
      <c r="H22" s="1">
        <v>2001</v>
      </c>
      <c r="I22" t="s">
        <v>89</v>
      </c>
      <c r="J22" s="1">
        <v>7</v>
      </c>
      <c r="K22" s="1" t="s">
        <v>20</v>
      </c>
      <c r="L22" s="1" t="s">
        <v>69</v>
      </c>
      <c r="M22" s="1">
        <v>2.5</v>
      </c>
      <c r="N22" s="1">
        <v>15.48</v>
      </c>
      <c r="O22" s="1">
        <v>67851000</v>
      </c>
      <c r="P22" t="s">
        <v>2281</v>
      </c>
    </row>
    <row r="23" spans="1:16" x14ac:dyDescent="0.3">
      <c r="A23" s="1" t="s">
        <v>102</v>
      </c>
      <c r="B23" s="1" t="s">
        <v>14</v>
      </c>
      <c r="C23" s="1" t="s">
        <v>103</v>
      </c>
      <c r="D23" s="1" t="s">
        <v>62</v>
      </c>
      <c r="E23" s="1" t="s">
        <v>50</v>
      </c>
      <c r="F23" s="1" t="s">
        <v>18</v>
      </c>
      <c r="G23" s="6">
        <v>45182</v>
      </c>
      <c r="H23" s="1">
        <v>2023</v>
      </c>
      <c r="I23" t="s">
        <v>19</v>
      </c>
      <c r="J23" s="1">
        <v>2</v>
      </c>
      <c r="K23" s="1" t="s">
        <v>20</v>
      </c>
      <c r="L23" s="1" t="s">
        <v>41</v>
      </c>
      <c r="M23" s="1">
        <v>7.7</v>
      </c>
      <c r="N23" s="1">
        <v>62.6</v>
      </c>
      <c r="O23" s="1">
        <v>53296000</v>
      </c>
      <c r="P23" t="s">
        <v>2281</v>
      </c>
    </row>
    <row r="24" spans="1:16" hidden="1" x14ac:dyDescent="0.3">
      <c r="A24" s="1" t="s">
        <v>104</v>
      </c>
      <c r="B24" s="1" t="s">
        <v>37</v>
      </c>
      <c r="C24" s="1" t="s">
        <v>105</v>
      </c>
      <c r="D24" s="1" t="s">
        <v>31</v>
      </c>
      <c r="E24" s="1" t="s">
        <v>106</v>
      </c>
      <c r="F24" s="1" t="s">
        <v>51</v>
      </c>
      <c r="G24" s="6">
        <v>42232</v>
      </c>
      <c r="H24" s="1">
        <v>2016</v>
      </c>
      <c r="I24" t="s">
        <v>19</v>
      </c>
      <c r="J24" s="1">
        <v>158</v>
      </c>
      <c r="K24" s="1" t="s">
        <v>28</v>
      </c>
      <c r="L24" s="1" t="s">
        <v>41</v>
      </c>
      <c r="M24" s="1">
        <v>3.4</v>
      </c>
      <c r="N24" s="1">
        <v>107.1</v>
      </c>
      <c r="O24" s="1">
        <v>26104000</v>
      </c>
      <c r="P24" t="s">
        <v>2282</v>
      </c>
    </row>
    <row r="25" spans="1:16" hidden="1" x14ac:dyDescent="0.3">
      <c r="A25" s="1" t="s">
        <v>107</v>
      </c>
      <c r="B25" s="1" t="s">
        <v>37</v>
      </c>
      <c r="C25" s="1" t="s">
        <v>108</v>
      </c>
      <c r="D25" s="1" t="s">
        <v>49</v>
      </c>
      <c r="E25" s="1" t="s">
        <v>50</v>
      </c>
      <c r="F25" s="1" t="s">
        <v>33</v>
      </c>
      <c r="G25" s="6">
        <v>45007</v>
      </c>
      <c r="H25" s="1">
        <v>2023</v>
      </c>
      <c r="I25" t="s">
        <v>27</v>
      </c>
      <c r="J25" s="1">
        <v>92</v>
      </c>
      <c r="K25" s="1" t="s">
        <v>28</v>
      </c>
      <c r="L25" s="1" t="s">
        <v>52</v>
      </c>
      <c r="M25" s="1">
        <v>9.3000000000000007</v>
      </c>
      <c r="N25" s="1">
        <v>98.41</v>
      </c>
      <c r="O25" s="1">
        <v>32574000</v>
      </c>
      <c r="P25" t="s">
        <v>2281</v>
      </c>
    </row>
    <row r="26" spans="1:16" x14ac:dyDescent="0.3">
      <c r="A26" s="1" t="s">
        <v>109</v>
      </c>
      <c r="B26" s="1" t="s">
        <v>14</v>
      </c>
      <c r="C26" s="1" t="s">
        <v>110</v>
      </c>
      <c r="D26" s="1" t="s">
        <v>72</v>
      </c>
      <c r="E26" s="1" t="s">
        <v>111</v>
      </c>
      <c r="F26" s="1" t="s">
        <v>18</v>
      </c>
      <c r="G26" s="6">
        <v>44054</v>
      </c>
      <c r="H26" s="1">
        <v>2005</v>
      </c>
      <c r="I26" t="s">
        <v>27</v>
      </c>
      <c r="J26" s="1">
        <v>3</v>
      </c>
      <c r="K26" s="1" t="s">
        <v>20</v>
      </c>
      <c r="L26" s="1" t="s">
        <v>41</v>
      </c>
      <c r="M26" s="1">
        <v>9.3000000000000007</v>
      </c>
      <c r="N26" s="1">
        <v>103.83</v>
      </c>
      <c r="O26" s="1">
        <v>46509000</v>
      </c>
      <c r="P26" t="s">
        <v>2281</v>
      </c>
    </row>
    <row r="27" spans="1:16" hidden="1" x14ac:dyDescent="0.3">
      <c r="A27" s="1" t="s">
        <v>112</v>
      </c>
      <c r="B27" s="1" t="s">
        <v>37</v>
      </c>
      <c r="C27" s="1" t="s">
        <v>113</v>
      </c>
      <c r="D27" s="1" t="s">
        <v>49</v>
      </c>
      <c r="E27" s="1" t="s">
        <v>114</v>
      </c>
      <c r="F27" s="1" t="s">
        <v>76</v>
      </c>
      <c r="G27" s="6">
        <v>44664</v>
      </c>
      <c r="H27" s="1">
        <v>1990</v>
      </c>
      <c r="I27" t="s">
        <v>55</v>
      </c>
      <c r="J27" s="1">
        <v>92</v>
      </c>
      <c r="K27" s="1" t="s">
        <v>28</v>
      </c>
      <c r="L27" s="1" t="s">
        <v>52</v>
      </c>
      <c r="M27" s="1">
        <v>4.9000000000000004</v>
      </c>
      <c r="N27" s="1">
        <v>74.92</v>
      </c>
      <c r="O27" s="1">
        <v>54497000</v>
      </c>
      <c r="P27" t="s">
        <v>2282</v>
      </c>
    </row>
    <row r="28" spans="1:16" x14ac:dyDescent="0.3">
      <c r="A28" s="1" t="s">
        <v>115</v>
      </c>
      <c r="B28" s="1" t="s">
        <v>14</v>
      </c>
      <c r="C28" s="1" t="s">
        <v>116</v>
      </c>
      <c r="D28" s="1" t="s">
        <v>39</v>
      </c>
      <c r="E28" s="1" t="s">
        <v>117</v>
      </c>
      <c r="F28" s="1" t="s">
        <v>59</v>
      </c>
      <c r="G28" s="6">
        <v>43317</v>
      </c>
      <c r="H28" s="1">
        <v>2012</v>
      </c>
      <c r="I28" t="s">
        <v>89</v>
      </c>
      <c r="J28" s="1">
        <v>6</v>
      </c>
      <c r="K28" s="1" t="s">
        <v>20</v>
      </c>
      <c r="L28" s="1" t="s">
        <v>21</v>
      </c>
      <c r="M28" s="1">
        <v>7.1</v>
      </c>
      <c r="N28" s="1">
        <v>88.9</v>
      </c>
      <c r="O28" s="1">
        <v>39382000</v>
      </c>
      <c r="P28" t="s">
        <v>2282</v>
      </c>
    </row>
    <row r="29" spans="1:16" hidden="1" x14ac:dyDescent="0.3">
      <c r="A29" s="1" t="s">
        <v>118</v>
      </c>
      <c r="B29" s="1" t="s">
        <v>37</v>
      </c>
      <c r="C29" s="1" t="s">
        <v>119</v>
      </c>
      <c r="D29" s="1" t="s">
        <v>62</v>
      </c>
      <c r="E29" s="1" t="s">
        <v>120</v>
      </c>
      <c r="F29" s="1" t="s">
        <v>33</v>
      </c>
      <c r="G29" s="6">
        <v>43419</v>
      </c>
      <c r="H29" s="1">
        <v>2001</v>
      </c>
      <c r="I29" t="s">
        <v>34</v>
      </c>
      <c r="J29" s="1">
        <v>153</v>
      </c>
      <c r="K29" s="1" t="s">
        <v>28</v>
      </c>
      <c r="L29" s="1" t="s">
        <v>41</v>
      </c>
      <c r="M29" s="1">
        <v>1.8</v>
      </c>
      <c r="N29" s="1">
        <v>146.03</v>
      </c>
      <c r="O29" s="1">
        <v>37605000</v>
      </c>
      <c r="P29" t="s">
        <v>2282</v>
      </c>
    </row>
    <row r="30" spans="1:16" hidden="1" x14ac:dyDescent="0.3">
      <c r="A30" s="1" t="s">
        <v>121</v>
      </c>
      <c r="B30" s="1" t="s">
        <v>37</v>
      </c>
      <c r="C30" s="1" t="s">
        <v>122</v>
      </c>
      <c r="D30" s="1" t="s">
        <v>24</v>
      </c>
      <c r="E30" s="1" t="s">
        <v>123</v>
      </c>
      <c r="F30" s="1" t="s">
        <v>45</v>
      </c>
      <c r="G30" s="6">
        <v>45199</v>
      </c>
      <c r="H30" s="1">
        <v>2018</v>
      </c>
      <c r="I30" t="s">
        <v>89</v>
      </c>
      <c r="J30" s="1">
        <v>99</v>
      </c>
      <c r="K30" s="1" t="s">
        <v>28</v>
      </c>
      <c r="L30" s="1" t="s">
        <v>46</v>
      </c>
      <c r="M30" s="1">
        <v>2.4</v>
      </c>
      <c r="N30" s="1">
        <v>3.83</v>
      </c>
      <c r="O30" s="1">
        <v>60367000</v>
      </c>
      <c r="P30" t="s">
        <v>2281</v>
      </c>
    </row>
    <row r="31" spans="1:16" hidden="1" x14ac:dyDescent="0.3">
      <c r="A31" s="1" t="s">
        <v>124</v>
      </c>
      <c r="B31" s="1" t="s">
        <v>37</v>
      </c>
      <c r="C31" s="1" t="s">
        <v>125</v>
      </c>
      <c r="D31" s="1" t="s">
        <v>16</v>
      </c>
      <c r="E31" s="1" t="s">
        <v>123</v>
      </c>
      <c r="F31" s="1" t="s">
        <v>59</v>
      </c>
      <c r="G31" s="6">
        <v>44010</v>
      </c>
      <c r="H31" s="1">
        <v>2008</v>
      </c>
      <c r="I31" t="s">
        <v>89</v>
      </c>
      <c r="J31" s="1">
        <v>136</v>
      </c>
      <c r="K31" s="1" t="s">
        <v>28</v>
      </c>
      <c r="L31" s="1" t="s">
        <v>69</v>
      </c>
      <c r="M31" s="1">
        <v>4.7</v>
      </c>
      <c r="N31" s="1">
        <v>118.66</v>
      </c>
      <c r="O31" s="1">
        <v>64745000</v>
      </c>
      <c r="P31" t="s">
        <v>2282</v>
      </c>
    </row>
    <row r="32" spans="1:16" x14ac:dyDescent="0.3">
      <c r="A32" s="1" t="s">
        <v>126</v>
      </c>
      <c r="B32" s="1" t="s">
        <v>14</v>
      </c>
      <c r="C32" s="1" t="s">
        <v>127</v>
      </c>
      <c r="D32" s="1" t="s">
        <v>62</v>
      </c>
      <c r="E32" s="1" t="s">
        <v>123</v>
      </c>
      <c r="F32" s="1" t="s">
        <v>33</v>
      </c>
      <c r="G32" s="6">
        <v>43441</v>
      </c>
      <c r="H32" s="1">
        <v>2007</v>
      </c>
      <c r="I32" t="s">
        <v>19</v>
      </c>
      <c r="J32" s="1">
        <v>4</v>
      </c>
      <c r="K32" s="1" t="s">
        <v>20</v>
      </c>
      <c r="L32" s="1" t="s">
        <v>41</v>
      </c>
      <c r="M32" s="1">
        <v>6.5</v>
      </c>
      <c r="N32" s="1">
        <v>17.2</v>
      </c>
      <c r="O32" s="1">
        <v>27107000</v>
      </c>
      <c r="P32" t="s">
        <v>2282</v>
      </c>
    </row>
    <row r="33" spans="1:16" hidden="1" x14ac:dyDescent="0.3">
      <c r="A33" s="1" t="s">
        <v>128</v>
      </c>
      <c r="B33" s="1" t="s">
        <v>37</v>
      </c>
      <c r="C33" s="1" t="s">
        <v>129</v>
      </c>
      <c r="D33" s="1" t="s">
        <v>16</v>
      </c>
      <c r="E33" s="1" t="s">
        <v>130</v>
      </c>
      <c r="F33" s="1" t="s">
        <v>33</v>
      </c>
      <c r="G33" s="6">
        <v>44569</v>
      </c>
      <c r="H33" s="1">
        <v>2012</v>
      </c>
      <c r="I33" t="s">
        <v>34</v>
      </c>
      <c r="J33" s="1">
        <v>123</v>
      </c>
      <c r="K33" s="1" t="s">
        <v>28</v>
      </c>
      <c r="L33" s="1" t="s">
        <v>41</v>
      </c>
      <c r="M33" s="1">
        <v>6.5</v>
      </c>
      <c r="N33" s="1">
        <v>58.83</v>
      </c>
      <c r="O33" s="1">
        <v>48591000</v>
      </c>
      <c r="P33" t="s">
        <v>2282</v>
      </c>
    </row>
    <row r="34" spans="1:16" x14ac:dyDescent="0.3">
      <c r="A34" s="1" t="s">
        <v>131</v>
      </c>
      <c r="B34" s="1" t="s">
        <v>14</v>
      </c>
      <c r="C34" s="1" t="s">
        <v>132</v>
      </c>
      <c r="D34" s="1" t="s">
        <v>62</v>
      </c>
      <c r="E34" s="1" t="s">
        <v>133</v>
      </c>
      <c r="F34" s="1" t="s">
        <v>33</v>
      </c>
      <c r="G34" s="6">
        <v>42584</v>
      </c>
      <c r="H34" s="1">
        <v>2016</v>
      </c>
      <c r="I34" t="s">
        <v>34</v>
      </c>
      <c r="J34" s="1">
        <v>1</v>
      </c>
      <c r="K34" s="1" t="s">
        <v>20</v>
      </c>
      <c r="L34" s="1" t="s">
        <v>21</v>
      </c>
      <c r="M34" s="1">
        <v>2.8</v>
      </c>
      <c r="N34" s="1">
        <v>32.770000000000003</v>
      </c>
      <c r="O34" s="1">
        <v>29751000</v>
      </c>
      <c r="P34" t="s">
        <v>2281</v>
      </c>
    </row>
    <row r="35" spans="1:16" hidden="1" x14ac:dyDescent="0.3">
      <c r="A35" s="1" t="s">
        <v>134</v>
      </c>
      <c r="B35" s="1" t="s">
        <v>37</v>
      </c>
      <c r="C35" s="1" t="s">
        <v>135</v>
      </c>
      <c r="D35" s="1" t="s">
        <v>62</v>
      </c>
      <c r="E35" s="1" t="s">
        <v>17</v>
      </c>
      <c r="F35" s="1" t="s">
        <v>51</v>
      </c>
      <c r="G35" s="6">
        <v>42983</v>
      </c>
      <c r="H35" s="1">
        <v>1999</v>
      </c>
      <c r="I35" t="s">
        <v>34</v>
      </c>
      <c r="J35" s="1">
        <v>133</v>
      </c>
      <c r="K35" s="1" t="s">
        <v>28</v>
      </c>
      <c r="L35" s="1" t="s">
        <v>46</v>
      </c>
      <c r="M35" s="1">
        <v>3.3</v>
      </c>
      <c r="N35" s="1">
        <v>114.88</v>
      </c>
      <c r="O35" s="1">
        <v>2798000</v>
      </c>
      <c r="P35" t="s">
        <v>2282</v>
      </c>
    </row>
    <row r="36" spans="1:16" hidden="1" x14ac:dyDescent="0.3">
      <c r="A36" s="1" t="s">
        <v>136</v>
      </c>
      <c r="B36" s="1" t="s">
        <v>37</v>
      </c>
      <c r="C36" s="1" t="s">
        <v>137</v>
      </c>
      <c r="D36" s="1" t="s">
        <v>39</v>
      </c>
      <c r="E36" s="1" t="s">
        <v>138</v>
      </c>
      <c r="F36" s="1" t="s">
        <v>18</v>
      </c>
      <c r="G36" s="6">
        <v>44247</v>
      </c>
      <c r="H36" s="1">
        <v>2023</v>
      </c>
      <c r="I36" t="s">
        <v>89</v>
      </c>
      <c r="J36" s="1">
        <v>154</v>
      </c>
      <c r="K36" s="1" t="s">
        <v>28</v>
      </c>
      <c r="L36" s="1" t="s">
        <v>52</v>
      </c>
      <c r="M36" s="1">
        <v>4.0999999999999996</v>
      </c>
      <c r="N36" s="1">
        <v>35.11</v>
      </c>
      <c r="O36" s="1">
        <v>4613000</v>
      </c>
      <c r="P36" t="s">
        <v>2282</v>
      </c>
    </row>
    <row r="37" spans="1:16" hidden="1" x14ac:dyDescent="0.3">
      <c r="A37" s="1" t="s">
        <v>139</v>
      </c>
      <c r="B37" s="1" t="s">
        <v>37</v>
      </c>
      <c r="C37" s="1" t="s">
        <v>140</v>
      </c>
      <c r="D37" s="1" t="s">
        <v>16</v>
      </c>
      <c r="E37" s="1" t="s">
        <v>141</v>
      </c>
      <c r="F37" s="1" t="s">
        <v>33</v>
      </c>
      <c r="G37" s="6">
        <v>44684</v>
      </c>
      <c r="H37" s="1">
        <v>2005</v>
      </c>
      <c r="I37" t="s">
        <v>19</v>
      </c>
      <c r="J37" s="1">
        <v>164</v>
      </c>
      <c r="K37" s="1" t="s">
        <v>28</v>
      </c>
      <c r="L37" s="1" t="s">
        <v>21</v>
      </c>
      <c r="M37" s="1">
        <v>1.3</v>
      </c>
      <c r="N37" s="1">
        <v>141.31</v>
      </c>
      <c r="O37" s="1">
        <v>6510000</v>
      </c>
      <c r="P37" t="s">
        <v>2282</v>
      </c>
    </row>
    <row r="38" spans="1:16" x14ac:dyDescent="0.3">
      <c r="A38" s="1" t="s">
        <v>142</v>
      </c>
      <c r="B38" s="1" t="s">
        <v>14</v>
      </c>
      <c r="C38" s="1" t="s">
        <v>143</v>
      </c>
      <c r="D38" s="1" t="s">
        <v>39</v>
      </c>
      <c r="E38" s="1" t="s">
        <v>144</v>
      </c>
      <c r="F38" s="1" t="s">
        <v>59</v>
      </c>
      <c r="G38" s="6">
        <v>43463</v>
      </c>
      <c r="H38" s="1">
        <v>2014</v>
      </c>
      <c r="I38" t="s">
        <v>34</v>
      </c>
      <c r="J38" s="1">
        <v>7</v>
      </c>
      <c r="K38" s="1" t="s">
        <v>20</v>
      </c>
      <c r="L38" s="1" t="s">
        <v>69</v>
      </c>
      <c r="M38" s="1">
        <v>7.3</v>
      </c>
      <c r="N38" s="1">
        <v>131.26</v>
      </c>
      <c r="O38" s="1">
        <v>30780000</v>
      </c>
      <c r="P38" t="s">
        <v>2281</v>
      </c>
    </row>
    <row r="39" spans="1:16" hidden="1" x14ac:dyDescent="0.3">
      <c r="A39" s="1" t="s">
        <v>145</v>
      </c>
      <c r="B39" s="1" t="s">
        <v>37</v>
      </c>
      <c r="C39" s="1" t="s">
        <v>146</v>
      </c>
      <c r="D39" s="1" t="s">
        <v>72</v>
      </c>
      <c r="E39" s="1" t="s">
        <v>147</v>
      </c>
      <c r="F39" s="1" t="s">
        <v>18</v>
      </c>
      <c r="G39" s="6">
        <v>42777</v>
      </c>
      <c r="H39" s="1">
        <v>2010</v>
      </c>
      <c r="I39" t="s">
        <v>55</v>
      </c>
      <c r="J39" s="1">
        <v>106</v>
      </c>
      <c r="K39" s="1" t="s">
        <v>28</v>
      </c>
      <c r="L39" s="1" t="s">
        <v>35</v>
      </c>
      <c r="M39" s="1">
        <v>4.5999999999999996</v>
      </c>
      <c r="N39" s="1">
        <v>111.02</v>
      </c>
      <c r="O39" s="1">
        <v>41643000</v>
      </c>
      <c r="P39" t="s">
        <v>2281</v>
      </c>
    </row>
    <row r="40" spans="1:16" hidden="1" x14ac:dyDescent="0.3">
      <c r="A40" s="1" t="s">
        <v>148</v>
      </c>
      <c r="B40" s="1" t="s">
        <v>37</v>
      </c>
      <c r="C40" s="1" t="s">
        <v>149</v>
      </c>
      <c r="D40" s="1" t="s">
        <v>72</v>
      </c>
      <c r="E40" s="1" t="s">
        <v>150</v>
      </c>
      <c r="F40" s="1" t="s">
        <v>26</v>
      </c>
      <c r="G40" s="6">
        <v>43098</v>
      </c>
      <c r="H40" s="1">
        <v>2008</v>
      </c>
      <c r="I40" t="s">
        <v>89</v>
      </c>
      <c r="J40" s="1">
        <v>61</v>
      </c>
      <c r="K40" s="1" t="s">
        <v>28</v>
      </c>
      <c r="L40" s="1" t="s">
        <v>69</v>
      </c>
      <c r="M40" s="1">
        <v>4.5</v>
      </c>
      <c r="N40" s="1">
        <v>113.22</v>
      </c>
      <c r="O40" s="1">
        <v>3263000</v>
      </c>
      <c r="P40" t="s">
        <v>2282</v>
      </c>
    </row>
    <row r="41" spans="1:16" x14ac:dyDescent="0.3">
      <c r="A41" s="1" t="s">
        <v>151</v>
      </c>
      <c r="B41" s="1" t="s">
        <v>14</v>
      </c>
      <c r="C41" s="1" t="s">
        <v>152</v>
      </c>
      <c r="D41" s="1" t="s">
        <v>24</v>
      </c>
      <c r="E41" s="1" t="s">
        <v>153</v>
      </c>
      <c r="F41" s="1" t="s">
        <v>59</v>
      </c>
      <c r="G41" s="6">
        <v>44253</v>
      </c>
      <c r="H41" s="1">
        <v>1997</v>
      </c>
      <c r="I41" t="s">
        <v>77</v>
      </c>
      <c r="J41" s="1">
        <v>10</v>
      </c>
      <c r="K41" s="1" t="s">
        <v>20</v>
      </c>
      <c r="L41" s="1" t="s">
        <v>69</v>
      </c>
      <c r="M41" s="1">
        <v>7</v>
      </c>
      <c r="N41" s="1">
        <v>99.48</v>
      </c>
      <c r="O41" s="1">
        <v>43188000</v>
      </c>
      <c r="P41" t="s">
        <v>2282</v>
      </c>
    </row>
    <row r="42" spans="1:16" hidden="1" x14ac:dyDescent="0.3">
      <c r="A42" s="1" t="s">
        <v>154</v>
      </c>
      <c r="B42" s="1" t="s">
        <v>37</v>
      </c>
      <c r="C42" s="1" t="s">
        <v>155</v>
      </c>
      <c r="D42" s="1" t="s">
        <v>49</v>
      </c>
      <c r="E42" s="1" t="s">
        <v>72</v>
      </c>
      <c r="F42" s="1" t="s">
        <v>76</v>
      </c>
      <c r="G42" s="6">
        <v>42981</v>
      </c>
      <c r="H42" s="1">
        <v>2015</v>
      </c>
      <c r="I42" t="s">
        <v>55</v>
      </c>
      <c r="J42" s="1">
        <v>170</v>
      </c>
      <c r="K42" s="1" t="s">
        <v>28</v>
      </c>
      <c r="L42" s="1" t="s">
        <v>21</v>
      </c>
      <c r="M42" s="1">
        <v>1.7</v>
      </c>
      <c r="N42" s="1">
        <v>11.06</v>
      </c>
      <c r="O42" s="1">
        <v>80764000</v>
      </c>
      <c r="P42" t="s">
        <v>2282</v>
      </c>
    </row>
    <row r="43" spans="1:16" hidden="1" x14ac:dyDescent="0.3">
      <c r="A43" s="1" t="s">
        <v>156</v>
      </c>
      <c r="B43" s="1" t="s">
        <v>37</v>
      </c>
      <c r="C43" s="1" t="s">
        <v>157</v>
      </c>
      <c r="D43" s="1" t="s">
        <v>72</v>
      </c>
      <c r="E43" s="1" t="s">
        <v>75</v>
      </c>
      <c r="F43" s="1" t="s">
        <v>158</v>
      </c>
      <c r="G43" s="6">
        <v>42051</v>
      </c>
      <c r="H43" s="1">
        <v>2007</v>
      </c>
      <c r="I43" t="s">
        <v>19</v>
      </c>
      <c r="J43" s="1">
        <v>165</v>
      </c>
      <c r="K43" s="1" t="s">
        <v>28</v>
      </c>
      <c r="L43" s="1" t="s">
        <v>21</v>
      </c>
      <c r="M43" s="1">
        <v>1.3</v>
      </c>
      <c r="N43" s="1">
        <v>90.94</v>
      </c>
      <c r="O43" s="1">
        <v>59399000</v>
      </c>
      <c r="P43" t="s">
        <v>2281</v>
      </c>
    </row>
    <row r="44" spans="1:16" x14ac:dyDescent="0.3">
      <c r="A44" s="1" t="s">
        <v>159</v>
      </c>
      <c r="B44" s="1" t="s">
        <v>14</v>
      </c>
      <c r="C44" s="1" t="s">
        <v>160</v>
      </c>
      <c r="D44" s="1" t="s">
        <v>16</v>
      </c>
      <c r="E44" s="1" t="s">
        <v>75</v>
      </c>
      <c r="F44" s="1" t="s">
        <v>33</v>
      </c>
      <c r="G44" s="6">
        <v>44126</v>
      </c>
      <c r="H44" s="1">
        <v>2022</v>
      </c>
      <c r="I44" t="s">
        <v>34</v>
      </c>
      <c r="J44" s="1">
        <v>8</v>
      </c>
      <c r="K44" s="1" t="s">
        <v>20</v>
      </c>
      <c r="L44" s="1" t="s">
        <v>35</v>
      </c>
      <c r="M44" s="1">
        <v>1</v>
      </c>
      <c r="N44" s="1">
        <v>140.66</v>
      </c>
      <c r="O44" s="1">
        <v>67445000</v>
      </c>
      <c r="P44" t="s">
        <v>2281</v>
      </c>
    </row>
    <row r="45" spans="1:16" x14ac:dyDescent="0.3">
      <c r="A45" s="1" t="s">
        <v>161</v>
      </c>
      <c r="B45" s="1" t="s">
        <v>14</v>
      </c>
      <c r="C45" s="1" t="s">
        <v>162</v>
      </c>
      <c r="D45" s="1" t="s">
        <v>24</v>
      </c>
      <c r="E45" s="1" t="s">
        <v>163</v>
      </c>
      <c r="F45" s="1" t="s">
        <v>158</v>
      </c>
      <c r="G45" s="6">
        <v>42990</v>
      </c>
      <c r="H45" s="1">
        <v>2014</v>
      </c>
      <c r="I45" t="s">
        <v>19</v>
      </c>
      <c r="J45" s="1">
        <v>9</v>
      </c>
      <c r="K45" s="1" t="s">
        <v>20</v>
      </c>
      <c r="L45" s="1" t="s">
        <v>69</v>
      </c>
      <c r="M45" s="1">
        <v>8.4</v>
      </c>
      <c r="N45" s="1">
        <v>40.74</v>
      </c>
      <c r="O45" s="1">
        <v>14645000</v>
      </c>
      <c r="P45" t="s">
        <v>2282</v>
      </c>
    </row>
    <row r="46" spans="1:16" x14ac:dyDescent="0.3">
      <c r="A46" s="1" t="s">
        <v>164</v>
      </c>
      <c r="B46" s="1" t="s">
        <v>14</v>
      </c>
      <c r="C46" s="1" t="s">
        <v>165</v>
      </c>
      <c r="D46" s="1" t="s">
        <v>24</v>
      </c>
      <c r="E46" s="1" t="s">
        <v>166</v>
      </c>
      <c r="F46" s="1" t="s">
        <v>33</v>
      </c>
      <c r="G46" s="6">
        <v>44804</v>
      </c>
      <c r="H46" s="1">
        <v>2004</v>
      </c>
      <c r="I46" t="s">
        <v>27</v>
      </c>
      <c r="J46" s="1">
        <v>4</v>
      </c>
      <c r="K46" s="1" t="s">
        <v>20</v>
      </c>
      <c r="L46" s="1" t="s">
        <v>21</v>
      </c>
      <c r="M46" s="1">
        <v>6.3</v>
      </c>
      <c r="N46" s="1">
        <v>43.5</v>
      </c>
      <c r="O46" s="1">
        <v>20174000</v>
      </c>
      <c r="P46" t="s">
        <v>2281</v>
      </c>
    </row>
    <row r="47" spans="1:16" x14ac:dyDescent="0.3">
      <c r="A47" s="1" t="s">
        <v>167</v>
      </c>
      <c r="B47" s="1" t="s">
        <v>14</v>
      </c>
      <c r="C47" s="1" t="s">
        <v>168</v>
      </c>
      <c r="D47" s="1" t="s">
        <v>31</v>
      </c>
      <c r="E47" s="1" t="s">
        <v>169</v>
      </c>
      <c r="F47" s="1" t="s">
        <v>18</v>
      </c>
      <c r="G47" s="6">
        <v>43291</v>
      </c>
      <c r="H47" s="1">
        <v>2023</v>
      </c>
      <c r="I47" t="s">
        <v>77</v>
      </c>
      <c r="J47" s="1">
        <v>10</v>
      </c>
      <c r="K47" s="1" t="s">
        <v>20</v>
      </c>
      <c r="L47" s="1" t="s">
        <v>21</v>
      </c>
      <c r="M47" s="1">
        <v>1.8</v>
      </c>
      <c r="N47" s="1">
        <v>79.59</v>
      </c>
      <c r="O47" s="1">
        <v>49101000</v>
      </c>
      <c r="P47" t="s">
        <v>2282</v>
      </c>
    </row>
    <row r="48" spans="1:16" x14ac:dyDescent="0.3">
      <c r="A48" s="1" t="s">
        <v>170</v>
      </c>
      <c r="B48" s="1" t="s">
        <v>14</v>
      </c>
      <c r="C48" s="1" t="s">
        <v>171</v>
      </c>
      <c r="D48" s="1" t="s">
        <v>16</v>
      </c>
      <c r="E48" s="1" t="s">
        <v>172</v>
      </c>
      <c r="F48" s="1" t="s">
        <v>18</v>
      </c>
      <c r="G48" s="6">
        <v>44816</v>
      </c>
      <c r="H48" s="1">
        <v>2006</v>
      </c>
      <c r="I48" t="s">
        <v>89</v>
      </c>
      <c r="J48" s="1">
        <v>5</v>
      </c>
      <c r="K48" s="1" t="s">
        <v>20</v>
      </c>
      <c r="L48" s="1" t="s">
        <v>41</v>
      </c>
      <c r="M48" s="1">
        <v>4.4000000000000004</v>
      </c>
      <c r="N48" s="1">
        <v>128.76</v>
      </c>
      <c r="O48" s="1">
        <v>60291000</v>
      </c>
      <c r="P48" t="s">
        <v>2281</v>
      </c>
    </row>
    <row r="49" spans="1:16" hidden="1" x14ac:dyDescent="0.3">
      <c r="A49" s="1" t="s">
        <v>173</v>
      </c>
      <c r="B49" s="1" t="s">
        <v>37</v>
      </c>
      <c r="C49" s="1" t="s">
        <v>174</v>
      </c>
      <c r="D49" s="1" t="s">
        <v>31</v>
      </c>
      <c r="E49" s="1" t="s">
        <v>175</v>
      </c>
      <c r="F49" s="1" t="s">
        <v>45</v>
      </c>
      <c r="G49" s="6">
        <v>44504</v>
      </c>
      <c r="H49" s="1">
        <v>1990</v>
      </c>
      <c r="I49" t="s">
        <v>77</v>
      </c>
      <c r="J49" s="1">
        <v>92</v>
      </c>
      <c r="K49" s="1" t="s">
        <v>28</v>
      </c>
      <c r="L49" s="1" t="s">
        <v>69</v>
      </c>
      <c r="M49" s="1">
        <v>9</v>
      </c>
      <c r="N49" s="1">
        <v>130.88999999999999</v>
      </c>
      <c r="O49" s="1">
        <v>62461000</v>
      </c>
      <c r="P49" t="s">
        <v>2281</v>
      </c>
    </row>
    <row r="50" spans="1:16" hidden="1" x14ac:dyDescent="0.3">
      <c r="A50" s="1" t="s">
        <v>176</v>
      </c>
      <c r="B50" s="1" t="s">
        <v>37</v>
      </c>
      <c r="C50" s="1" t="s">
        <v>177</v>
      </c>
      <c r="D50" s="1" t="s">
        <v>31</v>
      </c>
      <c r="E50" s="1" t="s">
        <v>50</v>
      </c>
      <c r="F50" s="1" t="s">
        <v>26</v>
      </c>
      <c r="G50" s="6">
        <v>42040</v>
      </c>
      <c r="H50" s="1">
        <v>2022</v>
      </c>
      <c r="I50" t="s">
        <v>19</v>
      </c>
      <c r="J50" s="1">
        <v>79</v>
      </c>
      <c r="K50" s="1" t="s">
        <v>28</v>
      </c>
      <c r="L50" s="1" t="s">
        <v>41</v>
      </c>
      <c r="M50" s="1">
        <v>6.9</v>
      </c>
      <c r="N50" s="1">
        <v>29.01</v>
      </c>
      <c r="O50" s="1">
        <v>98542000</v>
      </c>
      <c r="P50" t="s">
        <v>2281</v>
      </c>
    </row>
    <row r="51" spans="1:16" x14ac:dyDescent="0.3">
      <c r="A51" s="1" t="s">
        <v>178</v>
      </c>
      <c r="B51" s="1" t="s">
        <v>14</v>
      </c>
      <c r="C51" s="1" t="s">
        <v>179</v>
      </c>
      <c r="D51" s="1" t="s">
        <v>31</v>
      </c>
      <c r="E51" s="1" t="s">
        <v>180</v>
      </c>
      <c r="F51" s="1" t="s">
        <v>76</v>
      </c>
      <c r="G51" s="6">
        <v>45076</v>
      </c>
      <c r="H51" s="1">
        <v>2011</v>
      </c>
      <c r="I51" t="s">
        <v>77</v>
      </c>
      <c r="J51" s="1">
        <v>7</v>
      </c>
      <c r="K51" s="1" t="s">
        <v>20</v>
      </c>
      <c r="L51" s="1" t="s">
        <v>41</v>
      </c>
      <c r="M51" s="1">
        <v>5.3</v>
      </c>
      <c r="N51" s="1">
        <v>15.62</v>
      </c>
      <c r="O51" s="1">
        <v>80522000</v>
      </c>
      <c r="P51" t="s">
        <v>2282</v>
      </c>
    </row>
    <row r="52" spans="1:16" x14ac:dyDescent="0.3">
      <c r="A52" s="1" t="s">
        <v>181</v>
      </c>
      <c r="B52" s="1" t="s">
        <v>14</v>
      </c>
      <c r="C52" s="1" t="s">
        <v>182</v>
      </c>
      <c r="D52" s="1" t="s">
        <v>72</v>
      </c>
      <c r="E52" s="1" t="s">
        <v>169</v>
      </c>
      <c r="F52" s="1" t="s">
        <v>76</v>
      </c>
      <c r="G52" s="6">
        <v>44158</v>
      </c>
      <c r="H52" s="1">
        <v>1994</v>
      </c>
      <c r="I52" t="s">
        <v>55</v>
      </c>
      <c r="J52" s="1">
        <v>7</v>
      </c>
      <c r="K52" s="1" t="s">
        <v>20</v>
      </c>
      <c r="L52" s="1" t="s">
        <v>41</v>
      </c>
      <c r="M52" s="1">
        <v>5.4</v>
      </c>
      <c r="N52" s="1">
        <v>148.4</v>
      </c>
      <c r="O52" s="1">
        <v>64104000</v>
      </c>
      <c r="P52" t="s">
        <v>2281</v>
      </c>
    </row>
    <row r="53" spans="1:16" hidden="1" x14ac:dyDescent="0.3">
      <c r="A53" s="1" t="s">
        <v>183</v>
      </c>
      <c r="B53" s="1" t="s">
        <v>37</v>
      </c>
      <c r="C53" s="1" t="s">
        <v>184</v>
      </c>
      <c r="D53" s="1" t="s">
        <v>72</v>
      </c>
      <c r="E53" s="1" t="s">
        <v>72</v>
      </c>
      <c r="F53" s="1" t="s">
        <v>158</v>
      </c>
      <c r="G53" s="6">
        <v>43456</v>
      </c>
      <c r="H53" s="1">
        <v>2007</v>
      </c>
      <c r="I53" t="s">
        <v>89</v>
      </c>
      <c r="J53" s="1">
        <v>158</v>
      </c>
      <c r="K53" s="1" t="s">
        <v>28</v>
      </c>
      <c r="L53" s="1" t="s">
        <v>69</v>
      </c>
      <c r="M53" s="1">
        <v>8.5</v>
      </c>
      <c r="N53" s="1">
        <v>45.25</v>
      </c>
      <c r="O53" s="1">
        <v>91837000</v>
      </c>
      <c r="P53" t="s">
        <v>2281</v>
      </c>
    </row>
    <row r="54" spans="1:16" hidden="1" x14ac:dyDescent="0.3">
      <c r="A54" s="1" t="s">
        <v>185</v>
      </c>
      <c r="B54" s="1" t="s">
        <v>37</v>
      </c>
      <c r="C54" s="1" t="s">
        <v>186</v>
      </c>
      <c r="D54" s="1" t="s">
        <v>24</v>
      </c>
      <c r="E54" s="1" t="s">
        <v>187</v>
      </c>
      <c r="F54" s="1" t="s">
        <v>51</v>
      </c>
      <c r="G54" s="6">
        <v>44295</v>
      </c>
      <c r="H54" s="1">
        <v>1998</v>
      </c>
      <c r="I54" t="s">
        <v>55</v>
      </c>
      <c r="J54" s="1">
        <v>134</v>
      </c>
      <c r="K54" s="1" t="s">
        <v>28</v>
      </c>
      <c r="L54" s="1" t="s">
        <v>35</v>
      </c>
      <c r="M54" s="1">
        <v>6</v>
      </c>
      <c r="N54" s="1">
        <v>79.78</v>
      </c>
      <c r="O54" s="1">
        <v>71130000</v>
      </c>
      <c r="P54" t="s">
        <v>2282</v>
      </c>
    </row>
    <row r="55" spans="1:16" hidden="1" x14ac:dyDescent="0.3">
      <c r="A55" s="1" t="s">
        <v>188</v>
      </c>
      <c r="B55" s="1" t="s">
        <v>37</v>
      </c>
      <c r="C55" s="1" t="s">
        <v>189</v>
      </c>
      <c r="D55" s="1" t="s">
        <v>31</v>
      </c>
      <c r="E55" s="1" t="s">
        <v>123</v>
      </c>
      <c r="F55" s="1" t="s">
        <v>59</v>
      </c>
      <c r="G55" s="6">
        <v>44630</v>
      </c>
      <c r="H55" s="1">
        <v>2002</v>
      </c>
      <c r="I55" t="s">
        <v>34</v>
      </c>
      <c r="J55" s="1">
        <v>93</v>
      </c>
      <c r="K55" s="1" t="s">
        <v>28</v>
      </c>
      <c r="L55" s="1" t="s">
        <v>46</v>
      </c>
      <c r="M55" s="1">
        <v>6.2</v>
      </c>
      <c r="N55" s="1">
        <v>54.9</v>
      </c>
      <c r="O55" s="1">
        <v>39441000</v>
      </c>
      <c r="P55" t="s">
        <v>2281</v>
      </c>
    </row>
    <row r="56" spans="1:16" hidden="1" x14ac:dyDescent="0.3">
      <c r="A56" s="1" t="s">
        <v>190</v>
      </c>
      <c r="B56" s="1" t="s">
        <v>37</v>
      </c>
      <c r="C56" s="1" t="s">
        <v>191</v>
      </c>
      <c r="D56" s="1" t="s">
        <v>31</v>
      </c>
      <c r="E56" s="1" t="s">
        <v>192</v>
      </c>
      <c r="F56" s="1" t="s">
        <v>26</v>
      </c>
      <c r="G56" s="6">
        <v>44507</v>
      </c>
      <c r="H56" s="1">
        <v>2000</v>
      </c>
      <c r="I56" t="s">
        <v>89</v>
      </c>
      <c r="J56" s="1">
        <v>60</v>
      </c>
      <c r="K56" s="1" t="s">
        <v>28</v>
      </c>
      <c r="L56" s="1" t="s">
        <v>52</v>
      </c>
      <c r="M56" s="1">
        <v>8.6</v>
      </c>
      <c r="N56" s="1">
        <v>69.319999999999993</v>
      </c>
      <c r="O56" s="1">
        <v>10295000</v>
      </c>
      <c r="P56" t="s">
        <v>2281</v>
      </c>
    </row>
    <row r="57" spans="1:16" hidden="1" x14ac:dyDescent="0.3">
      <c r="A57" s="1" t="s">
        <v>193</v>
      </c>
      <c r="B57" s="1" t="s">
        <v>37</v>
      </c>
      <c r="C57" s="1" t="s">
        <v>194</v>
      </c>
      <c r="D57" s="1" t="s">
        <v>31</v>
      </c>
      <c r="E57" s="1" t="s">
        <v>195</v>
      </c>
      <c r="F57" s="1" t="s">
        <v>59</v>
      </c>
      <c r="G57" s="6">
        <v>43000</v>
      </c>
      <c r="H57" s="1">
        <v>2007</v>
      </c>
      <c r="I57" t="s">
        <v>89</v>
      </c>
      <c r="J57" s="1">
        <v>129</v>
      </c>
      <c r="K57" s="1" t="s">
        <v>28</v>
      </c>
      <c r="L57" s="1" t="s">
        <v>41</v>
      </c>
      <c r="M57" s="1">
        <v>4.9000000000000004</v>
      </c>
      <c r="N57" s="1">
        <v>143.85</v>
      </c>
      <c r="O57" s="1">
        <v>9394000</v>
      </c>
      <c r="P57" t="s">
        <v>2281</v>
      </c>
    </row>
    <row r="58" spans="1:16" hidden="1" x14ac:dyDescent="0.3">
      <c r="A58" s="1" t="s">
        <v>196</v>
      </c>
      <c r="B58" s="1" t="s">
        <v>37</v>
      </c>
      <c r="C58" s="1" t="s">
        <v>197</v>
      </c>
      <c r="D58" s="1" t="s">
        <v>72</v>
      </c>
      <c r="E58" s="1" t="s">
        <v>198</v>
      </c>
      <c r="F58" s="1" t="s">
        <v>76</v>
      </c>
      <c r="G58" s="6">
        <v>43984</v>
      </c>
      <c r="H58" s="1">
        <v>2013</v>
      </c>
      <c r="I58" t="s">
        <v>27</v>
      </c>
      <c r="J58" s="1">
        <v>83</v>
      </c>
      <c r="K58" s="1" t="s">
        <v>28</v>
      </c>
      <c r="L58" s="1" t="s">
        <v>69</v>
      </c>
      <c r="M58" s="1">
        <v>6.1</v>
      </c>
      <c r="N58" s="1">
        <v>109.75</v>
      </c>
      <c r="O58" s="1">
        <v>75999000</v>
      </c>
      <c r="P58" t="s">
        <v>2282</v>
      </c>
    </row>
    <row r="59" spans="1:16" x14ac:dyDescent="0.3">
      <c r="A59" s="1" t="s">
        <v>199</v>
      </c>
      <c r="B59" s="1" t="s">
        <v>14</v>
      </c>
      <c r="C59" s="1" t="s">
        <v>200</v>
      </c>
      <c r="D59" s="1" t="s">
        <v>24</v>
      </c>
      <c r="E59" s="1" t="s">
        <v>201</v>
      </c>
      <c r="F59" s="1" t="s">
        <v>76</v>
      </c>
      <c r="G59" s="6">
        <v>43460</v>
      </c>
      <c r="H59" s="1">
        <v>1995</v>
      </c>
      <c r="I59" t="s">
        <v>27</v>
      </c>
      <c r="J59" s="1">
        <v>8</v>
      </c>
      <c r="K59" s="1" t="s">
        <v>20</v>
      </c>
      <c r="L59" s="1" t="s">
        <v>52</v>
      </c>
      <c r="M59" s="1">
        <v>2.7</v>
      </c>
      <c r="N59" s="1">
        <v>13.8</v>
      </c>
      <c r="O59" s="1">
        <v>63972000</v>
      </c>
      <c r="P59" t="s">
        <v>2281</v>
      </c>
    </row>
    <row r="60" spans="1:16" hidden="1" x14ac:dyDescent="0.3">
      <c r="A60" s="1" t="s">
        <v>202</v>
      </c>
      <c r="B60" s="1" t="s">
        <v>37</v>
      </c>
      <c r="C60" s="1" t="s">
        <v>203</v>
      </c>
      <c r="D60" s="1" t="s">
        <v>62</v>
      </c>
      <c r="E60" s="1" t="s">
        <v>204</v>
      </c>
      <c r="F60" s="1" t="s">
        <v>76</v>
      </c>
      <c r="G60" s="6">
        <v>42401</v>
      </c>
      <c r="H60" s="1">
        <v>1992</v>
      </c>
      <c r="I60" t="s">
        <v>27</v>
      </c>
      <c r="J60" s="1">
        <v>99</v>
      </c>
      <c r="K60" s="1" t="s">
        <v>28</v>
      </c>
      <c r="L60" s="1" t="s">
        <v>52</v>
      </c>
      <c r="M60" s="1">
        <v>2.1</v>
      </c>
      <c r="N60" s="1">
        <v>47.47</v>
      </c>
      <c r="O60" s="1">
        <v>77317000</v>
      </c>
      <c r="P60" t="s">
        <v>2282</v>
      </c>
    </row>
    <row r="61" spans="1:16" x14ac:dyDescent="0.3">
      <c r="A61" s="1" t="s">
        <v>205</v>
      </c>
      <c r="B61" s="1" t="s">
        <v>14</v>
      </c>
      <c r="C61" s="1" t="s">
        <v>206</v>
      </c>
      <c r="D61" s="1" t="s">
        <v>72</v>
      </c>
      <c r="E61" s="1" t="s">
        <v>207</v>
      </c>
      <c r="F61" s="1" t="s">
        <v>76</v>
      </c>
      <c r="G61" s="6">
        <v>42519</v>
      </c>
      <c r="H61" s="1">
        <v>2009</v>
      </c>
      <c r="I61" t="s">
        <v>77</v>
      </c>
      <c r="J61" s="1">
        <v>4</v>
      </c>
      <c r="K61" s="1" t="s">
        <v>20</v>
      </c>
      <c r="L61" s="1" t="s">
        <v>46</v>
      </c>
      <c r="M61" s="1">
        <v>7.3</v>
      </c>
      <c r="N61" s="1">
        <v>47.64</v>
      </c>
      <c r="O61" s="1">
        <v>56287000</v>
      </c>
      <c r="P61" t="s">
        <v>2281</v>
      </c>
    </row>
    <row r="62" spans="1:16" hidden="1" x14ac:dyDescent="0.3">
      <c r="A62" s="1" t="s">
        <v>208</v>
      </c>
      <c r="B62" s="1" t="s">
        <v>37</v>
      </c>
      <c r="C62" s="1" t="s">
        <v>209</v>
      </c>
      <c r="D62" s="1" t="s">
        <v>62</v>
      </c>
      <c r="E62" s="1" t="s">
        <v>120</v>
      </c>
      <c r="F62" s="1" t="s">
        <v>59</v>
      </c>
      <c r="G62" s="6">
        <v>43918</v>
      </c>
      <c r="H62" s="1">
        <v>1992</v>
      </c>
      <c r="I62" t="s">
        <v>89</v>
      </c>
      <c r="J62" s="1">
        <v>170</v>
      </c>
      <c r="K62" s="1" t="s">
        <v>28</v>
      </c>
      <c r="L62" s="1" t="s">
        <v>35</v>
      </c>
      <c r="M62" s="1">
        <v>2.8</v>
      </c>
      <c r="N62" s="1">
        <v>49.89</v>
      </c>
      <c r="O62" s="1">
        <v>58693000</v>
      </c>
      <c r="P62" t="s">
        <v>2281</v>
      </c>
    </row>
    <row r="63" spans="1:16" x14ac:dyDescent="0.3">
      <c r="A63" s="1" t="s">
        <v>210</v>
      </c>
      <c r="B63" s="1" t="s">
        <v>14</v>
      </c>
      <c r="C63" s="1" t="s">
        <v>211</v>
      </c>
      <c r="D63" s="1" t="s">
        <v>39</v>
      </c>
      <c r="E63" s="1" t="s">
        <v>117</v>
      </c>
      <c r="F63" s="1" t="s">
        <v>45</v>
      </c>
      <c r="G63" s="6">
        <v>42364</v>
      </c>
      <c r="H63" s="1">
        <v>2023</v>
      </c>
      <c r="I63" t="s">
        <v>55</v>
      </c>
      <c r="J63" s="1">
        <v>3</v>
      </c>
      <c r="K63" s="1" t="s">
        <v>20</v>
      </c>
      <c r="L63" s="1" t="s">
        <v>21</v>
      </c>
      <c r="M63" s="1">
        <v>5.9</v>
      </c>
      <c r="N63" s="1">
        <v>54.68</v>
      </c>
      <c r="O63" s="1">
        <v>86958000</v>
      </c>
      <c r="P63" t="s">
        <v>2282</v>
      </c>
    </row>
    <row r="64" spans="1:16" hidden="1" x14ac:dyDescent="0.3">
      <c r="A64" s="1" t="s">
        <v>212</v>
      </c>
      <c r="B64" s="1" t="s">
        <v>37</v>
      </c>
      <c r="C64" s="1" t="s">
        <v>213</v>
      </c>
      <c r="D64" s="1" t="s">
        <v>39</v>
      </c>
      <c r="E64" s="1" t="s">
        <v>40</v>
      </c>
      <c r="F64" s="1" t="s">
        <v>76</v>
      </c>
      <c r="G64" s="6">
        <v>44778</v>
      </c>
      <c r="H64" s="1">
        <v>2009</v>
      </c>
      <c r="I64" t="s">
        <v>77</v>
      </c>
      <c r="J64" s="1">
        <v>85</v>
      </c>
      <c r="K64" s="1" t="s">
        <v>28</v>
      </c>
      <c r="L64" s="1" t="s">
        <v>52</v>
      </c>
      <c r="M64" s="1">
        <v>9.9</v>
      </c>
      <c r="N64" s="1">
        <v>59.96</v>
      </c>
      <c r="O64" s="1">
        <v>96177000</v>
      </c>
      <c r="P64" t="s">
        <v>2282</v>
      </c>
    </row>
    <row r="65" spans="1:16" hidden="1" x14ac:dyDescent="0.3">
      <c r="A65" s="1" t="s">
        <v>214</v>
      </c>
      <c r="B65" s="1" t="s">
        <v>37</v>
      </c>
      <c r="C65" s="1" t="s">
        <v>215</v>
      </c>
      <c r="D65" s="1" t="s">
        <v>16</v>
      </c>
      <c r="E65" s="1" t="s">
        <v>216</v>
      </c>
      <c r="F65" s="1" t="s">
        <v>158</v>
      </c>
      <c r="G65" s="6">
        <v>42433</v>
      </c>
      <c r="H65" s="1">
        <v>2019</v>
      </c>
      <c r="I65" t="s">
        <v>77</v>
      </c>
      <c r="J65" s="1">
        <v>102</v>
      </c>
      <c r="K65" s="1" t="s">
        <v>28</v>
      </c>
      <c r="L65" s="1" t="s">
        <v>41</v>
      </c>
      <c r="M65" s="1">
        <v>6.1</v>
      </c>
      <c r="N65" s="1">
        <v>106.54</v>
      </c>
      <c r="O65" s="1">
        <v>22389000</v>
      </c>
      <c r="P65" t="s">
        <v>2282</v>
      </c>
    </row>
    <row r="66" spans="1:16" x14ac:dyDescent="0.3">
      <c r="A66" s="1" t="s">
        <v>217</v>
      </c>
      <c r="B66" s="1" t="s">
        <v>14</v>
      </c>
      <c r="C66" s="1" t="s">
        <v>218</v>
      </c>
      <c r="D66" s="1" t="s">
        <v>72</v>
      </c>
      <c r="E66" s="1" t="s">
        <v>219</v>
      </c>
      <c r="F66" s="1" t="s">
        <v>33</v>
      </c>
      <c r="G66" s="6">
        <v>45087</v>
      </c>
      <c r="H66" s="1">
        <v>1999</v>
      </c>
      <c r="I66" t="s">
        <v>34</v>
      </c>
      <c r="J66" s="1">
        <v>6</v>
      </c>
      <c r="K66" s="1" t="s">
        <v>20</v>
      </c>
      <c r="L66" s="1" t="s">
        <v>46</v>
      </c>
      <c r="M66" s="1">
        <v>3.2</v>
      </c>
      <c r="N66" s="1">
        <v>49.21</v>
      </c>
      <c r="O66" s="1">
        <v>78172000</v>
      </c>
      <c r="P66" t="s">
        <v>2281</v>
      </c>
    </row>
    <row r="67" spans="1:16" hidden="1" x14ac:dyDescent="0.3">
      <c r="A67" s="1" t="s">
        <v>220</v>
      </c>
      <c r="B67" s="1" t="s">
        <v>37</v>
      </c>
      <c r="C67" s="1" t="s">
        <v>221</v>
      </c>
      <c r="D67" s="1" t="s">
        <v>24</v>
      </c>
      <c r="E67" s="1" t="s">
        <v>222</v>
      </c>
      <c r="F67" s="1" t="s">
        <v>45</v>
      </c>
      <c r="G67" s="6">
        <v>42752</v>
      </c>
      <c r="H67" s="1">
        <v>2010</v>
      </c>
      <c r="I67" t="s">
        <v>19</v>
      </c>
      <c r="J67" s="1">
        <v>122</v>
      </c>
      <c r="K67" s="1" t="s">
        <v>28</v>
      </c>
      <c r="L67" s="1" t="s">
        <v>41</v>
      </c>
      <c r="M67" s="1">
        <v>9.1</v>
      </c>
      <c r="N67" s="1">
        <v>68.38</v>
      </c>
      <c r="O67" s="1">
        <v>56491000</v>
      </c>
      <c r="P67" t="s">
        <v>2282</v>
      </c>
    </row>
    <row r="68" spans="1:16" hidden="1" x14ac:dyDescent="0.3">
      <c r="A68" s="1" t="s">
        <v>223</v>
      </c>
      <c r="B68" s="1" t="s">
        <v>37</v>
      </c>
      <c r="C68" s="1" t="s">
        <v>224</v>
      </c>
      <c r="D68" s="1" t="s">
        <v>49</v>
      </c>
      <c r="E68" s="1" t="s">
        <v>63</v>
      </c>
      <c r="F68" s="1" t="s">
        <v>26</v>
      </c>
      <c r="G68" s="6">
        <v>43766</v>
      </c>
      <c r="H68" s="1">
        <v>2000</v>
      </c>
      <c r="I68" t="s">
        <v>27</v>
      </c>
      <c r="J68" s="1">
        <v>126</v>
      </c>
      <c r="K68" s="1" t="s">
        <v>28</v>
      </c>
      <c r="L68" s="1" t="s">
        <v>21</v>
      </c>
      <c r="M68" s="1">
        <v>6.3</v>
      </c>
      <c r="N68" s="1">
        <v>34.06</v>
      </c>
      <c r="O68" s="1">
        <v>87333000</v>
      </c>
      <c r="P68" t="s">
        <v>2282</v>
      </c>
    </row>
    <row r="69" spans="1:16" x14ac:dyDescent="0.3">
      <c r="A69" s="1" t="s">
        <v>225</v>
      </c>
      <c r="B69" s="1" t="s">
        <v>14</v>
      </c>
      <c r="C69" s="1" t="s">
        <v>226</v>
      </c>
      <c r="D69" s="1" t="s">
        <v>49</v>
      </c>
      <c r="E69" s="1" t="s">
        <v>227</v>
      </c>
      <c r="F69" s="1" t="s">
        <v>26</v>
      </c>
      <c r="G69" s="6">
        <v>44994</v>
      </c>
      <c r="H69" s="1">
        <v>2008</v>
      </c>
      <c r="I69" t="s">
        <v>89</v>
      </c>
      <c r="J69" s="1">
        <v>5</v>
      </c>
      <c r="K69" s="1" t="s">
        <v>20</v>
      </c>
      <c r="L69" s="1" t="s">
        <v>35</v>
      </c>
      <c r="M69" s="1">
        <v>6.2</v>
      </c>
      <c r="N69" s="1">
        <v>117.02</v>
      </c>
      <c r="O69" s="1">
        <v>96956000</v>
      </c>
      <c r="P69" t="s">
        <v>2282</v>
      </c>
    </row>
    <row r="70" spans="1:16" x14ac:dyDescent="0.3">
      <c r="A70" s="1" t="s">
        <v>228</v>
      </c>
      <c r="B70" s="1" t="s">
        <v>14</v>
      </c>
      <c r="C70" s="1" t="s">
        <v>229</v>
      </c>
      <c r="D70" s="1" t="s">
        <v>31</v>
      </c>
      <c r="E70" s="1" t="s">
        <v>138</v>
      </c>
      <c r="F70" s="1" t="s">
        <v>76</v>
      </c>
      <c r="G70" s="6">
        <v>43612</v>
      </c>
      <c r="H70" s="1">
        <v>2007</v>
      </c>
      <c r="I70" t="s">
        <v>34</v>
      </c>
      <c r="J70" s="1">
        <v>8</v>
      </c>
      <c r="K70" s="1" t="s">
        <v>20</v>
      </c>
      <c r="L70" s="1" t="s">
        <v>41</v>
      </c>
      <c r="M70" s="1">
        <v>9.6</v>
      </c>
      <c r="N70" s="1">
        <v>76.28</v>
      </c>
      <c r="O70" s="1">
        <v>88196000</v>
      </c>
      <c r="P70" t="s">
        <v>2281</v>
      </c>
    </row>
    <row r="71" spans="1:16" hidden="1" x14ac:dyDescent="0.3">
      <c r="A71" s="1" t="s">
        <v>230</v>
      </c>
      <c r="B71" s="1" t="s">
        <v>37</v>
      </c>
      <c r="C71" s="1" t="s">
        <v>231</v>
      </c>
      <c r="D71" s="1" t="s">
        <v>31</v>
      </c>
      <c r="E71" s="1" t="s">
        <v>232</v>
      </c>
      <c r="F71" s="1" t="s">
        <v>18</v>
      </c>
      <c r="G71" s="6">
        <v>42518</v>
      </c>
      <c r="H71" s="1">
        <v>1992</v>
      </c>
      <c r="I71" t="s">
        <v>77</v>
      </c>
      <c r="J71" s="1">
        <v>69</v>
      </c>
      <c r="K71" s="1" t="s">
        <v>28</v>
      </c>
      <c r="L71" s="1" t="s">
        <v>41</v>
      </c>
      <c r="M71" s="1">
        <v>9.5</v>
      </c>
      <c r="N71" s="1">
        <v>100.35</v>
      </c>
      <c r="O71" s="1">
        <v>5463000</v>
      </c>
      <c r="P71" t="s">
        <v>2281</v>
      </c>
    </row>
    <row r="72" spans="1:16" x14ac:dyDescent="0.3">
      <c r="A72" s="1" t="s">
        <v>233</v>
      </c>
      <c r="B72" s="1" t="s">
        <v>14</v>
      </c>
      <c r="C72" s="1" t="s">
        <v>234</v>
      </c>
      <c r="D72" s="1" t="s">
        <v>24</v>
      </c>
      <c r="E72" s="1" t="s">
        <v>235</v>
      </c>
      <c r="F72" s="1" t="s">
        <v>33</v>
      </c>
      <c r="G72" s="6">
        <v>43561</v>
      </c>
      <c r="H72" s="1">
        <v>2003</v>
      </c>
      <c r="I72" t="s">
        <v>19</v>
      </c>
      <c r="J72" s="1">
        <v>4</v>
      </c>
      <c r="K72" s="1" t="s">
        <v>20</v>
      </c>
      <c r="L72" s="1" t="s">
        <v>69</v>
      </c>
      <c r="M72" s="1">
        <v>2.6</v>
      </c>
      <c r="N72" s="1">
        <v>50.18</v>
      </c>
      <c r="O72" s="1">
        <v>32611000</v>
      </c>
      <c r="P72" t="s">
        <v>2282</v>
      </c>
    </row>
    <row r="73" spans="1:16" hidden="1" x14ac:dyDescent="0.3">
      <c r="A73" s="1" t="s">
        <v>236</v>
      </c>
      <c r="B73" s="1" t="s">
        <v>37</v>
      </c>
      <c r="C73" s="1" t="s">
        <v>237</v>
      </c>
      <c r="D73" s="1" t="s">
        <v>39</v>
      </c>
      <c r="E73" s="1" t="s">
        <v>75</v>
      </c>
      <c r="F73" s="1" t="s">
        <v>33</v>
      </c>
      <c r="G73" s="6">
        <v>44833</v>
      </c>
      <c r="H73" s="1">
        <v>2018</v>
      </c>
      <c r="I73" t="s">
        <v>34</v>
      </c>
      <c r="J73" s="1">
        <v>62</v>
      </c>
      <c r="K73" s="1" t="s">
        <v>28</v>
      </c>
      <c r="L73" s="1" t="s">
        <v>21</v>
      </c>
      <c r="M73" s="1">
        <v>6.7</v>
      </c>
      <c r="N73" s="1">
        <v>126.89</v>
      </c>
      <c r="O73" s="1">
        <v>24356000</v>
      </c>
      <c r="P73" t="s">
        <v>2282</v>
      </c>
    </row>
    <row r="74" spans="1:16" hidden="1" x14ac:dyDescent="0.3">
      <c r="A74" s="1" t="s">
        <v>238</v>
      </c>
      <c r="B74" s="1" t="s">
        <v>37</v>
      </c>
      <c r="C74" s="1" t="s">
        <v>239</v>
      </c>
      <c r="D74" s="1" t="s">
        <v>16</v>
      </c>
      <c r="E74" s="1" t="s">
        <v>240</v>
      </c>
      <c r="F74" s="1" t="s">
        <v>51</v>
      </c>
      <c r="G74" s="6">
        <v>45208</v>
      </c>
      <c r="H74" s="1">
        <v>2008</v>
      </c>
      <c r="I74" t="s">
        <v>77</v>
      </c>
      <c r="J74" s="1">
        <v>162</v>
      </c>
      <c r="K74" s="1" t="s">
        <v>28</v>
      </c>
      <c r="L74" s="1" t="s">
        <v>21</v>
      </c>
      <c r="M74" s="1">
        <v>8.6</v>
      </c>
      <c r="N74" s="1">
        <v>103.9</v>
      </c>
      <c r="O74" s="1">
        <v>39226000</v>
      </c>
      <c r="P74" t="s">
        <v>2282</v>
      </c>
    </row>
    <row r="75" spans="1:16" x14ac:dyDescent="0.3">
      <c r="A75" s="1" t="s">
        <v>241</v>
      </c>
      <c r="B75" s="1" t="s">
        <v>14</v>
      </c>
      <c r="C75" s="1" t="s">
        <v>242</v>
      </c>
      <c r="D75" s="1" t="s">
        <v>39</v>
      </c>
      <c r="E75" s="1" t="s">
        <v>72</v>
      </c>
      <c r="F75" s="1" t="s">
        <v>26</v>
      </c>
      <c r="G75" s="6">
        <v>42831</v>
      </c>
      <c r="H75" s="1">
        <v>1994</v>
      </c>
      <c r="I75" t="s">
        <v>19</v>
      </c>
      <c r="J75" s="1">
        <v>2</v>
      </c>
      <c r="K75" s="1" t="s">
        <v>20</v>
      </c>
      <c r="L75" s="1" t="s">
        <v>69</v>
      </c>
      <c r="M75" s="1">
        <v>3.4</v>
      </c>
      <c r="N75" s="1">
        <v>80.239999999999995</v>
      </c>
      <c r="O75" s="1">
        <v>73570000</v>
      </c>
      <c r="P75" t="s">
        <v>2282</v>
      </c>
    </row>
    <row r="76" spans="1:16" x14ac:dyDescent="0.3">
      <c r="A76" s="1" t="s">
        <v>243</v>
      </c>
      <c r="B76" s="1" t="s">
        <v>14</v>
      </c>
      <c r="C76" s="1" t="s">
        <v>244</v>
      </c>
      <c r="D76" s="1" t="s">
        <v>31</v>
      </c>
      <c r="E76" s="1" t="s">
        <v>58</v>
      </c>
      <c r="F76" s="1" t="s">
        <v>76</v>
      </c>
      <c r="G76" s="6">
        <v>45008</v>
      </c>
      <c r="H76" s="1">
        <v>2016</v>
      </c>
      <c r="I76" t="s">
        <v>27</v>
      </c>
      <c r="J76" s="1">
        <v>3</v>
      </c>
      <c r="K76" s="1" t="s">
        <v>20</v>
      </c>
      <c r="L76" s="1" t="s">
        <v>46</v>
      </c>
      <c r="M76" s="1">
        <v>3.7</v>
      </c>
      <c r="N76" s="1">
        <v>143.83000000000001</v>
      </c>
      <c r="O76" s="1">
        <v>79836000</v>
      </c>
      <c r="P76" t="s">
        <v>2281</v>
      </c>
    </row>
    <row r="77" spans="1:16" hidden="1" x14ac:dyDescent="0.3">
      <c r="A77" s="1" t="s">
        <v>245</v>
      </c>
      <c r="B77" s="1" t="s">
        <v>37</v>
      </c>
      <c r="C77" s="1" t="s">
        <v>246</v>
      </c>
      <c r="D77" s="1" t="s">
        <v>39</v>
      </c>
      <c r="E77" s="1" t="s">
        <v>235</v>
      </c>
      <c r="F77" s="1" t="s">
        <v>45</v>
      </c>
      <c r="G77" s="6">
        <v>45110</v>
      </c>
      <c r="H77" s="1">
        <v>1991</v>
      </c>
      <c r="I77" t="s">
        <v>27</v>
      </c>
      <c r="J77" s="1">
        <v>72</v>
      </c>
      <c r="K77" s="1" t="s">
        <v>28</v>
      </c>
      <c r="L77" s="1" t="s">
        <v>52</v>
      </c>
      <c r="M77" s="1">
        <v>8.8000000000000007</v>
      </c>
      <c r="N77" s="1">
        <v>125.8</v>
      </c>
      <c r="O77" s="1">
        <v>86160000</v>
      </c>
      <c r="P77" t="s">
        <v>2281</v>
      </c>
    </row>
    <row r="78" spans="1:16" hidden="1" x14ac:dyDescent="0.3">
      <c r="A78" s="1" t="s">
        <v>247</v>
      </c>
      <c r="B78" s="1" t="s">
        <v>37</v>
      </c>
      <c r="C78" s="1" t="s">
        <v>248</v>
      </c>
      <c r="D78" s="1" t="s">
        <v>49</v>
      </c>
      <c r="E78" s="1" t="s">
        <v>249</v>
      </c>
      <c r="F78" s="1" t="s">
        <v>51</v>
      </c>
      <c r="G78" s="6">
        <v>42428</v>
      </c>
      <c r="H78" s="1">
        <v>2009</v>
      </c>
      <c r="I78" t="s">
        <v>55</v>
      </c>
      <c r="J78" s="1">
        <v>160</v>
      </c>
      <c r="K78" s="1" t="s">
        <v>28</v>
      </c>
      <c r="L78" s="1" t="s">
        <v>52</v>
      </c>
      <c r="M78" s="1">
        <v>3.9</v>
      </c>
      <c r="N78" s="1">
        <v>13.03</v>
      </c>
      <c r="O78" s="1">
        <v>7898000</v>
      </c>
      <c r="P78" t="s">
        <v>2282</v>
      </c>
    </row>
    <row r="79" spans="1:16" hidden="1" x14ac:dyDescent="0.3">
      <c r="A79" s="1" t="s">
        <v>250</v>
      </c>
      <c r="B79" s="1" t="s">
        <v>37</v>
      </c>
      <c r="C79" s="1" t="s">
        <v>251</v>
      </c>
      <c r="D79" s="1" t="s">
        <v>31</v>
      </c>
      <c r="E79" s="1" t="s">
        <v>252</v>
      </c>
      <c r="F79" s="1" t="s">
        <v>26</v>
      </c>
      <c r="G79" s="6">
        <v>44246</v>
      </c>
      <c r="H79" s="1">
        <v>1992</v>
      </c>
      <c r="I79" t="s">
        <v>55</v>
      </c>
      <c r="J79" s="1">
        <v>132</v>
      </c>
      <c r="K79" s="1" t="s">
        <v>28</v>
      </c>
      <c r="L79" s="1" t="s">
        <v>69</v>
      </c>
      <c r="M79" s="1">
        <v>1.2</v>
      </c>
      <c r="N79" s="1">
        <v>115.43</v>
      </c>
      <c r="O79" s="1">
        <v>4781000</v>
      </c>
      <c r="P79" t="s">
        <v>2282</v>
      </c>
    </row>
    <row r="80" spans="1:16" hidden="1" x14ac:dyDescent="0.3">
      <c r="A80" s="1" t="s">
        <v>253</v>
      </c>
      <c r="B80" s="1" t="s">
        <v>37</v>
      </c>
      <c r="C80" s="1" t="s">
        <v>254</v>
      </c>
      <c r="D80" s="1" t="s">
        <v>24</v>
      </c>
      <c r="E80" s="1" t="s">
        <v>255</v>
      </c>
      <c r="F80" s="1" t="s">
        <v>158</v>
      </c>
      <c r="G80" s="6">
        <v>44340</v>
      </c>
      <c r="H80" s="1">
        <v>1992</v>
      </c>
      <c r="I80" t="s">
        <v>19</v>
      </c>
      <c r="J80" s="1">
        <v>113</v>
      </c>
      <c r="K80" s="1" t="s">
        <v>28</v>
      </c>
      <c r="L80" s="1" t="s">
        <v>41</v>
      </c>
      <c r="M80" s="1">
        <v>1.1000000000000001</v>
      </c>
      <c r="N80" s="1">
        <v>14.07</v>
      </c>
      <c r="O80" s="1">
        <v>20372000</v>
      </c>
      <c r="P80" t="s">
        <v>2281</v>
      </c>
    </row>
    <row r="81" spans="1:16" hidden="1" x14ac:dyDescent="0.3">
      <c r="A81" s="1" t="s">
        <v>256</v>
      </c>
      <c r="B81" s="1" t="s">
        <v>37</v>
      </c>
      <c r="C81" s="1" t="s">
        <v>257</v>
      </c>
      <c r="D81" s="1" t="s">
        <v>49</v>
      </c>
      <c r="E81" s="1" t="s">
        <v>258</v>
      </c>
      <c r="F81" s="1" t="s">
        <v>18</v>
      </c>
      <c r="G81" s="6">
        <v>42397</v>
      </c>
      <c r="H81" s="1">
        <v>2005</v>
      </c>
      <c r="I81" t="s">
        <v>89</v>
      </c>
      <c r="J81" s="1">
        <v>134</v>
      </c>
      <c r="K81" s="1" t="s">
        <v>28</v>
      </c>
      <c r="L81" s="1" t="s">
        <v>41</v>
      </c>
      <c r="M81" s="1">
        <v>9.8000000000000007</v>
      </c>
      <c r="N81" s="1">
        <v>82.36</v>
      </c>
      <c r="O81" s="1">
        <v>73393000</v>
      </c>
      <c r="P81" t="s">
        <v>2281</v>
      </c>
    </row>
    <row r="82" spans="1:16" x14ac:dyDescent="0.3">
      <c r="A82" s="1" t="s">
        <v>259</v>
      </c>
      <c r="B82" s="1" t="s">
        <v>14</v>
      </c>
      <c r="C82" s="1" t="s">
        <v>260</v>
      </c>
      <c r="D82" s="1" t="s">
        <v>16</v>
      </c>
      <c r="E82" s="1" t="s">
        <v>261</v>
      </c>
      <c r="F82" s="1" t="s">
        <v>76</v>
      </c>
      <c r="G82" s="6">
        <v>43710</v>
      </c>
      <c r="H82" s="1">
        <v>1990</v>
      </c>
      <c r="I82" t="s">
        <v>34</v>
      </c>
      <c r="J82" s="1">
        <v>5</v>
      </c>
      <c r="K82" s="1" t="s">
        <v>20</v>
      </c>
      <c r="L82" s="1" t="s">
        <v>41</v>
      </c>
      <c r="M82" s="1">
        <v>1.1000000000000001</v>
      </c>
      <c r="N82" s="1">
        <v>94.22</v>
      </c>
      <c r="O82" s="1">
        <v>92119000</v>
      </c>
      <c r="P82" t="s">
        <v>2281</v>
      </c>
    </row>
    <row r="83" spans="1:16" x14ac:dyDescent="0.3">
      <c r="A83" s="1" t="s">
        <v>262</v>
      </c>
      <c r="B83" s="1" t="s">
        <v>14</v>
      </c>
      <c r="C83" s="1" t="s">
        <v>263</v>
      </c>
      <c r="D83" s="1" t="s">
        <v>72</v>
      </c>
      <c r="E83" s="1" t="s">
        <v>264</v>
      </c>
      <c r="F83" s="1" t="s">
        <v>158</v>
      </c>
      <c r="G83" s="6">
        <v>42020</v>
      </c>
      <c r="H83" s="1">
        <v>2002</v>
      </c>
      <c r="I83" t="s">
        <v>89</v>
      </c>
      <c r="J83" s="1">
        <v>7</v>
      </c>
      <c r="K83" s="1" t="s">
        <v>20</v>
      </c>
      <c r="L83" s="1" t="s">
        <v>52</v>
      </c>
      <c r="M83" s="1">
        <v>1.6</v>
      </c>
      <c r="N83" s="1">
        <v>83.73</v>
      </c>
      <c r="O83" s="1">
        <v>52641000</v>
      </c>
      <c r="P83" t="s">
        <v>2281</v>
      </c>
    </row>
    <row r="84" spans="1:16" hidden="1" x14ac:dyDescent="0.3">
      <c r="A84" s="1" t="s">
        <v>265</v>
      </c>
      <c r="B84" s="1" t="s">
        <v>37</v>
      </c>
      <c r="C84" s="1" t="s">
        <v>266</v>
      </c>
      <c r="D84" s="1" t="s">
        <v>31</v>
      </c>
      <c r="E84" s="1" t="s">
        <v>267</v>
      </c>
      <c r="F84" s="1" t="s">
        <v>18</v>
      </c>
      <c r="G84" s="6">
        <v>45201</v>
      </c>
      <c r="H84" s="1">
        <v>2009</v>
      </c>
      <c r="I84" t="s">
        <v>27</v>
      </c>
      <c r="J84" s="1">
        <v>145</v>
      </c>
      <c r="K84" s="1" t="s">
        <v>28</v>
      </c>
      <c r="L84" s="1" t="s">
        <v>52</v>
      </c>
      <c r="M84" s="1">
        <v>8.9</v>
      </c>
      <c r="N84" s="1">
        <v>43.11</v>
      </c>
      <c r="O84" s="1">
        <v>64570000</v>
      </c>
      <c r="P84" t="s">
        <v>2282</v>
      </c>
    </row>
    <row r="85" spans="1:16" hidden="1" x14ac:dyDescent="0.3">
      <c r="A85" s="1" t="s">
        <v>268</v>
      </c>
      <c r="B85" s="1" t="s">
        <v>37</v>
      </c>
      <c r="C85" s="1" t="s">
        <v>269</v>
      </c>
      <c r="D85" s="1" t="s">
        <v>39</v>
      </c>
      <c r="E85" s="1" t="s">
        <v>270</v>
      </c>
      <c r="F85" s="1" t="s">
        <v>158</v>
      </c>
      <c r="G85" s="6">
        <v>43626</v>
      </c>
      <c r="H85" s="1">
        <v>2003</v>
      </c>
      <c r="I85" t="s">
        <v>27</v>
      </c>
      <c r="J85" s="1">
        <v>97</v>
      </c>
      <c r="K85" s="1" t="s">
        <v>28</v>
      </c>
      <c r="L85" s="1" t="s">
        <v>35</v>
      </c>
      <c r="M85" s="1">
        <v>8.1</v>
      </c>
      <c r="N85" s="1">
        <v>26.78</v>
      </c>
      <c r="O85" s="1">
        <v>93405000</v>
      </c>
      <c r="P85" t="s">
        <v>2281</v>
      </c>
    </row>
    <row r="86" spans="1:16" x14ac:dyDescent="0.3">
      <c r="A86" s="1" t="s">
        <v>271</v>
      </c>
      <c r="B86" s="1" t="s">
        <v>14</v>
      </c>
      <c r="C86" s="1" t="s">
        <v>272</v>
      </c>
      <c r="D86" s="1" t="s">
        <v>39</v>
      </c>
      <c r="E86" s="1" t="s">
        <v>63</v>
      </c>
      <c r="F86" s="1" t="s">
        <v>18</v>
      </c>
      <c r="G86" s="6">
        <v>45246</v>
      </c>
      <c r="H86" s="1">
        <v>2023</v>
      </c>
      <c r="I86" t="s">
        <v>89</v>
      </c>
      <c r="J86" s="1">
        <v>4</v>
      </c>
      <c r="K86" s="1" t="s">
        <v>20</v>
      </c>
      <c r="L86" s="1" t="s">
        <v>69</v>
      </c>
      <c r="M86" s="1">
        <v>4</v>
      </c>
      <c r="N86" s="1">
        <v>129.5</v>
      </c>
      <c r="O86" s="1">
        <v>57668000</v>
      </c>
      <c r="P86" t="s">
        <v>2281</v>
      </c>
    </row>
    <row r="87" spans="1:16" hidden="1" x14ac:dyDescent="0.3">
      <c r="A87" s="1" t="s">
        <v>273</v>
      </c>
      <c r="B87" s="1" t="s">
        <v>37</v>
      </c>
      <c r="C87" s="1" t="s">
        <v>274</v>
      </c>
      <c r="D87" s="1" t="s">
        <v>31</v>
      </c>
      <c r="E87" s="1" t="s">
        <v>123</v>
      </c>
      <c r="F87" s="1" t="s">
        <v>158</v>
      </c>
      <c r="G87" s="6">
        <v>42698</v>
      </c>
      <c r="H87" s="1">
        <v>1992</v>
      </c>
      <c r="I87" t="s">
        <v>27</v>
      </c>
      <c r="J87" s="1">
        <v>84</v>
      </c>
      <c r="K87" s="1" t="s">
        <v>28</v>
      </c>
      <c r="L87" s="1" t="s">
        <v>52</v>
      </c>
      <c r="M87" s="1">
        <v>9</v>
      </c>
      <c r="N87" s="1">
        <v>102.29</v>
      </c>
      <c r="O87" s="1">
        <v>28486000</v>
      </c>
      <c r="P87" t="s">
        <v>2282</v>
      </c>
    </row>
    <row r="88" spans="1:16" hidden="1" x14ac:dyDescent="0.3">
      <c r="A88" s="1" t="s">
        <v>275</v>
      </c>
      <c r="B88" s="1" t="s">
        <v>37</v>
      </c>
      <c r="C88" s="1" t="s">
        <v>276</v>
      </c>
      <c r="D88" s="1" t="s">
        <v>16</v>
      </c>
      <c r="E88" s="1" t="s">
        <v>111</v>
      </c>
      <c r="F88" s="1" t="s">
        <v>59</v>
      </c>
      <c r="G88" s="6">
        <v>45227</v>
      </c>
      <c r="H88" s="1">
        <v>2007</v>
      </c>
      <c r="I88" t="s">
        <v>77</v>
      </c>
      <c r="J88" s="1">
        <v>114</v>
      </c>
      <c r="K88" s="1" t="s">
        <v>28</v>
      </c>
      <c r="L88" s="1" t="s">
        <v>52</v>
      </c>
      <c r="M88" s="1">
        <v>7.1</v>
      </c>
      <c r="N88" s="1">
        <v>85.39</v>
      </c>
      <c r="O88" s="1">
        <v>32185000</v>
      </c>
      <c r="P88" t="s">
        <v>2281</v>
      </c>
    </row>
    <row r="89" spans="1:16" hidden="1" x14ac:dyDescent="0.3">
      <c r="A89" s="1" t="s">
        <v>277</v>
      </c>
      <c r="B89" s="1" t="s">
        <v>37</v>
      </c>
      <c r="C89" s="1" t="s">
        <v>278</v>
      </c>
      <c r="D89" s="1" t="s">
        <v>72</v>
      </c>
      <c r="E89" s="1" t="s">
        <v>279</v>
      </c>
      <c r="F89" s="1" t="s">
        <v>26</v>
      </c>
      <c r="G89" s="6">
        <v>42980</v>
      </c>
      <c r="H89" s="1">
        <v>2002</v>
      </c>
      <c r="I89" t="s">
        <v>89</v>
      </c>
      <c r="J89" s="1">
        <v>164</v>
      </c>
      <c r="K89" s="1" t="s">
        <v>28</v>
      </c>
      <c r="L89" s="1" t="s">
        <v>46</v>
      </c>
      <c r="M89" s="1">
        <v>8.9</v>
      </c>
      <c r="N89" s="1">
        <v>109.68</v>
      </c>
      <c r="O89" s="1">
        <v>59588000</v>
      </c>
      <c r="P89" t="s">
        <v>2281</v>
      </c>
    </row>
    <row r="90" spans="1:16" x14ac:dyDescent="0.3">
      <c r="A90" s="1" t="s">
        <v>280</v>
      </c>
      <c r="B90" s="1" t="s">
        <v>14</v>
      </c>
      <c r="C90" s="1" t="s">
        <v>281</v>
      </c>
      <c r="D90" s="1" t="s">
        <v>24</v>
      </c>
      <c r="E90" s="1" t="s">
        <v>63</v>
      </c>
      <c r="F90" s="1" t="s">
        <v>51</v>
      </c>
      <c r="G90" s="6">
        <v>43733</v>
      </c>
      <c r="H90" s="1">
        <v>1993</v>
      </c>
      <c r="I90" t="s">
        <v>77</v>
      </c>
      <c r="J90" s="1">
        <v>8</v>
      </c>
      <c r="K90" s="1" t="s">
        <v>20</v>
      </c>
      <c r="L90" s="1" t="s">
        <v>46</v>
      </c>
      <c r="M90" s="1">
        <v>3.2</v>
      </c>
      <c r="N90" s="1">
        <v>51.86</v>
      </c>
      <c r="O90" s="1">
        <v>71970000</v>
      </c>
      <c r="P90" t="s">
        <v>2281</v>
      </c>
    </row>
    <row r="91" spans="1:16" x14ac:dyDescent="0.3">
      <c r="A91" s="1" t="s">
        <v>282</v>
      </c>
      <c r="B91" s="1" t="s">
        <v>14</v>
      </c>
      <c r="C91" s="1" t="s">
        <v>283</v>
      </c>
      <c r="D91" s="1" t="s">
        <v>16</v>
      </c>
      <c r="E91" s="1" t="s">
        <v>144</v>
      </c>
      <c r="F91" s="1" t="s">
        <v>26</v>
      </c>
      <c r="G91" s="6">
        <v>44648</v>
      </c>
      <c r="H91" s="1">
        <v>2011</v>
      </c>
      <c r="I91" t="s">
        <v>77</v>
      </c>
      <c r="J91" s="1">
        <v>10</v>
      </c>
      <c r="K91" s="1" t="s">
        <v>20</v>
      </c>
      <c r="L91" s="1" t="s">
        <v>52</v>
      </c>
      <c r="M91" s="1">
        <v>3.4</v>
      </c>
      <c r="N91" s="1">
        <v>9.0299999999999994</v>
      </c>
      <c r="O91" s="1">
        <v>86236000</v>
      </c>
      <c r="P91" t="s">
        <v>2282</v>
      </c>
    </row>
    <row r="92" spans="1:16" x14ac:dyDescent="0.3">
      <c r="A92" s="1" t="s">
        <v>284</v>
      </c>
      <c r="B92" s="1" t="s">
        <v>14</v>
      </c>
      <c r="C92" s="1" t="s">
        <v>285</v>
      </c>
      <c r="D92" s="1" t="s">
        <v>24</v>
      </c>
      <c r="E92" s="1" t="s">
        <v>40</v>
      </c>
      <c r="F92" s="1" t="s">
        <v>59</v>
      </c>
      <c r="G92" s="6">
        <v>44005</v>
      </c>
      <c r="H92" s="1">
        <v>2020</v>
      </c>
      <c r="I92" t="s">
        <v>27</v>
      </c>
      <c r="J92" s="1">
        <v>3</v>
      </c>
      <c r="K92" s="1" t="s">
        <v>20</v>
      </c>
      <c r="L92" s="1" t="s">
        <v>69</v>
      </c>
      <c r="M92" s="1">
        <v>5.9</v>
      </c>
      <c r="N92" s="1">
        <v>43.75</v>
      </c>
      <c r="O92" s="1">
        <v>21108000</v>
      </c>
      <c r="P92" t="s">
        <v>2282</v>
      </c>
    </row>
    <row r="93" spans="1:16" hidden="1" x14ac:dyDescent="0.3">
      <c r="A93" s="1" t="s">
        <v>286</v>
      </c>
      <c r="B93" s="1" t="s">
        <v>37</v>
      </c>
      <c r="C93" s="1" t="s">
        <v>287</v>
      </c>
      <c r="D93" s="1" t="s">
        <v>72</v>
      </c>
      <c r="E93" s="1" t="s">
        <v>40</v>
      </c>
      <c r="F93" s="1" t="s">
        <v>158</v>
      </c>
      <c r="G93" s="6">
        <v>44176</v>
      </c>
      <c r="H93" s="1">
        <v>2013</v>
      </c>
      <c r="I93" t="s">
        <v>34</v>
      </c>
      <c r="J93" s="1">
        <v>100</v>
      </c>
      <c r="K93" s="1" t="s">
        <v>28</v>
      </c>
      <c r="L93" s="1" t="s">
        <v>21</v>
      </c>
      <c r="M93" s="1">
        <v>9.8000000000000007</v>
      </c>
      <c r="N93" s="1">
        <v>127.19</v>
      </c>
      <c r="O93" s="1">
        <v>46876000</v>
      </c>
      <c r="P93" t="s">
        <v>2281</v>
      </c>
    </row>
    <row r="94" spans="1:16" x14ac:dyDescent="0.3">
      <c r="A94" s="1" t="s">
        <v>288</v>
      </c>
      <c r="B94" s="1" t="s">
        <v>14</v>
      </c>
      <c r="C94" s="1" t="s">
        <v>289</v>
      </c>
      <c r="D94" s="1" t="s">
        <v>16</v>
      </c>
      <c r="E94" s="1" t="s">
        <v>290</v>
      </c>
      <c r="F94" s="1" t="s">
        <v>59</v>
      </c>
      <c r="G94" s="6">
        <v>42528</v>
      </c>
      <c r="H94" s="1">
        <v>1993</v>
      </c>
      <c r="I94" t="s">
        <v>27</v>
      </c>
      <c r="J94" s="1">
        <v>4</v>
      </c>
      <c r="K94" s="1" t="s">
        <v>20</v>
      </c>
      <c r="L94" s="1" t="s">
        <v>21</v>
      </c>
      <c r="M94" s="1">
        <v>9.5</v>
      </c>
      <c r="N94" s="1">
        <v>56.18</v>
      </c>
      <c r="O94" s="1">
        <v>97273000</v>
      </c>
      <c r="P94" t="s">
        <v>2281</v>
      </c>
    </row>
    <row r="95" spans="1:16" hidden="1" x14ac:dyDescent="0.3">
      <c r="A95" s="1" t="s">
        <v>291</v>
      </c>
      <c r="B95" s="1" t="s">
        <v>37</v>
      </c>
      <c r="C95" s="1" t="s">
        <v>292</v>
      </c>
      <c r="D95" s="1" t="s">
        <v>62</v>
      </c>
      <c r="E95" s="1" t="s">
        <v>138</v>
      </c>
      <c r="F95" s="1" t="s">
        <v>33</v>
      </c>
      <c r="G95" s="6">
        <v>43814</v>
      </c>
      <c r="H95" s="1">
        <v>1990</v>
      </c>
      <c r="I95" t="s">
        <v>55</v>
      </c>
      <c r="J95" s="1">
        <v>113</v>
      </c>
      <c r="K95" s="1" t="s">
        <v>28</v>
      </c>
      <c r="L95" s="1" t="s">
        <v>35</v>
      </c>
      <c r="M95" s="1">
        <v>7.5</v>
      </c>
      <c r="N95" s="1">
        <v>62.43</v>
      </c>
      <c r="O95" s="1">
        <v>43365000</v>
      </c>
      <c r="P95" t="s">
        <v>2281</v>
      </c>
    </row>
    <row r="96" spans="1:16" x14ac:dyDescent="0.3">
      <c r="A96" s="1" t="s">
        <v>293</v>
      </c>
      <c r="B96" s="1" t="s">
        <v>14</v>
      </c>
      <c r="C96" s="1" t="s">
        <v>294</v>
      </c>
      <c r="D96" s="1" t="s">
        <v>72</v>
      </c>
      <c r="E96" s="1" t="s">
        <v>295</v>
      </c>
      <c r="F96" s="1" t="s">
        <v>33</v>
      </c>
      <c r="G96" s="6">
        <v>43262</v>
      </c>
      <c r="H96" s="1">
        <v>1994</v>
      </c>
      <c r="I96" t="s">
        <v>27</v>
      </c>
      <c r="J96" s="1">
        <v>6</v>
      </c>
      <c r="K96" s="1" t="s">
        <v>20</v>
      </c>
      <c r="L96" s="1" t="s">
        <v>35</v>
      </c>
      <c r="M96" s="1">
        <v>5.8</v>
      </c>
      <c r="N96" s="1">
        <v>116.79</v>
      </c>
      <c r="O96" s="1">
        <v>12742000</v>
      </c>
      <c r="P96" t="s">
        <v>2282</v>
      </c>
    </row>
    <row r="97" spans="1:16" x14ac:dyDescent="0.3">
      <c r="A97" s="1" t="s">
        <v>296</v>
      </c>
      <c r="B97" s="1" t="s">
        <v>14</v>
      </c>
      <c r="C97" s="1" t="s">
        <v>297</v>
      </c>
      <c r="D97" s="1" t="s">
        <v>49</v>
      </c>
      <c r="E97" s="1" t="s">
        <v>298</v>
      </c>
      <c r="F97" s="1" t="s">
        <v>59</v>
      </c>
      <c r="G97" s="6">
        <v>43076</v>
      </c>
      <c r="H97" s="1">
        <v>2002</v>
      </c>
      <c r="I97" t="s">
        <v>19</v>
      </c>
      <c r="J97" s="1">
        <v>7</v>
      </c>
      <c r="K97" s="1" t="s">
        <v>20</v>
      </c>
      <c r="L97" s="1" t="s">
        <v>46</v>
      </c>
      <c r="M97" s="1">
        <v>3.3</v>
      </c>
      <c r="N97" s="1">
        <v>27.36</v>
      </c>
      <c r="O97" s="1">
        <v>85986000</v>
      </c>
      <c r="P97" t="s">
        <v>2281</v>
      </c>
    </row>
    <row r="98" spans="1:16" hidden="1" x14ac:dyDescent="0.3">
      <c r="A98" s="1" t="s">
        <v>299</v>
      </c>
      <c r="B98" s="1" t="s">
        <v>37</v>
      </c>
      <c r="C98" s="1" t="s">
        <v>300</v>
      </c>
      <c r="D98" s="1" t="s">
        <v>62</v>
      </c>
      <c r="E98" s="1" t="s">
        <v>270</v>
      </c>
      <c r="F98" s="1" t="s">
        <v>45</v>
      </c>
      <c r="G98" s="6">
        <v>44154</v>
      </c>
      <c r="H98" s="1">
        <v>2006</v>
      </c>
      <c r="I98" t="s">
        <v>77</v>
      </c>
      <c r="J98" s="1">
        <v>64</v>
      </c>
      <c r="K98" s="1" t="s">
        <v>28</v>
      </c>
      <c r="L98" s="1" t="s">
        <v>41</v>
      </c>
      <c r="M98" s="1">
        <v>8.8000000000000007</v>
      </c>
      <c r="N98" s="1">
        <v>32.5</v>
      </c>
      <c r="O98" s="1">
        <v>48749000</v>
      </c>
      <c r="P98" t="s">
        <v>2281</v>
      </c>
    </row>
    <row r="99" spans="1:16" hidden="1" x14ac:dyDescent="0.3">
      <c r="A99" s="1" t="s">
        <v>301</v>
      </c>
      <c r="B99" s="1" t="s">
        <v>37</v>
      </c>
      <c r="C99" s="1" t="s">
        <v>302</v>
      </c>
      <c r="D99" s="1" t="s">
        <v>49</v>
      </c>
      <c r="E99" s="1" t="s">
        <v>111</v>
      </c>
      <c r="F99" s="1" t="s">
        <v>18</v>
      </c>
      <c r="G99" s="6">
        <v>43059</v>
      </c>
      <c r="H99" s="1">
        <v>2002</v>
      </c>
      <c r="I99" t="s">
        <v>89</v>
      </c>
      <c r="J99" s="1">
        <v>122</v>
      </c>
      <c r="K99" s="1" t="s">
        <v>28</v>
      </c>
      <c r="L99" s="1" t="s">
        <v>52</v>
      </c>
      <c r="M99" s="1">
        <v>1.2</v>
      </c>
      <c r="N99" s="1">
        <v>100.85</v>
      </c>
      <c r="O99" s="1">
        <v>41898000</v>
      </c>
      <c r="P99" t="s">
        <v>2282</v>
      </c>
    </row>
    <row r="100" spans="1:16" x14ac:dyDescent="0.3">
      <c r="A100" s="1" t="s">
        <v>303</v>
      </c>
      <c r="B100" s="1" t="s">
        <v>14</v>
      </c>
      <c r="C100" s="1" t="s">
        <v>304</v>
      </c>
      <c r="D100" s="1" t="s">
        <v>31</v>
      </c>
      <c r="E100" s="1" t="s">
        <v>111</v>
      </c>
      <c r="F100" s="1" t="s">
        <v>76</v>
      </c>
      <c r="G100" s="6">
        <v>43384</v>
      </c>
      <c r="H100" s="1">
        <v>2014</v>
      </c>
      <c r="I100" t="s">
        <v>55</v>
      </c>
      <c r="J100" s="1">
        <v>9</v>
      </c>
      <c r="K100" s="1" t="s">
        <v>20</v>
      </c>
      <c r="L100" s="1" t="s">
        <v>69</v>
      </c>
      <c r="M100" s="1">
        <v>1.5</v>
      </c>
      <c r="N100" s="1">
        <v>130.97999999999999</v>
      </c>
      <c r="O100" s="1">
        <v>81141000</v>
      </c>
      <c r="P100" t="s">
        <v>2281</v>
      </c>
    </row>
    <row r="101" spans="1:16" hidden="1" x14ac:dyDescent="0.3">
      <c r="A101" s="1" t="s">
        <v>305</v>
      </c>
      <c r="B101" s="1" t="s">
        <v>37</v>
      </c>
      <c r="C101" s="1" t="s">
        <v>306</v>
      </c>
      <c r="D101" s="1" t="s">
        <v>62</v>
      </c>
      <c r="E101" s="1" t="s">
        <v>63</v>
      </c>
      <c r="F101" s="1" t="s">
        <v>18</v>
      </c>
      <c r="G101" s="6">
        <v>42972</v>
      </c>
      <c r="H101" s="1">
        <v>2001</v>
      </c>
      <c r="I101" t="s">
        <v>77</v>
      </c>
      <c r="J101" s="1">
        <v>169</v>
      </c>
      <c r="K101" s="1" t="s">
        <v>28</v>
      </c>
      <c r="L101" s="1" t="s">
        <v>52</v>
      </c>
      <c r="M101" s="1">
        <v>6.3</v>
      </c>
      <c r="N101" s="1">
        <v>118.94</v>
      </c>
      <c r="O101" s="1">
        <v>53981000</v>
      </c>
      <c r="P101" t="s">
        <v>2282</v>
      </c>
    </row>
    <row r="102" spans="1:16" hidden="1" x14ac:dyDescent="0.3">
      <c r="A102" s="1" t="s">
        <v>307</v>
      </c>
      <c r="B102" s="1" t="s">
        <v>37</v>
      </c>
      <c r="C102" s="1" t="s">
        <v>308</v>
      </c>
      <c r="D102" s="1" t="s">
        <v>24</v>
      </c>
      <c r="E102" s="1" t="s">
        <v>309</v>
      </c>
      <c r="F102" s="1" t="s">
        <v>18</v>
      </c>
      <c r="G102" s="6">
        <v>42640</v>
      </c>
      <c r="H102" s="1">
        <v>2023</v>
      </c>
      <c r="I102" t="s">
        <v>19</v>
      </c>
      <c r="J102" s="1">
        <v>142</v>
      </c>
      <c r="K102" s="1" t="s">
        <v>28</v>
      </c>
      <c r="L102" s="1" t="s">
        <v>69</v>
      </c>
      <c r="M102" s="1">
        <v>2.7</v>
      </c>
      <c r="N102" s="1">
        <v>130.72</v>
      </c>
      <c r="O102" s="1">
        <v>49469000</v>
      </c>
      <c r="P102" t="s">
        <v>2282</v>
      </c>
    </row>
    <row r="103" spans="1:16" x14ac:dyDescent="0.3">
      <c r="A103" s="1" t="s">
        <v>310</v>
      </c>
      <c r="B103" s="1" t="s">
        <v>14</v>
      </c>
      <c r="C103" s="1" t="s">
        <v>311</v>
      </c>
      <c r="D103" s="1" t="s">
        <v>39</v>
      </c>
      <c r="E103" s="1" t="s">
        <v>72</v>
      </c>
      <c r="F103" s="1" t="s">
        <v>51</v>
      </c>
      <c r="G103" s="6">
        <v>44125</v>
      </c>
      <c r="H103" s="1">
        <v>2011</v>
      </c>
      <c r="I103" t="s">
        <v>34</v>
      </c>
      <c r="J103" s="1">
        <v>2</v>
      </c>
      <c r="K103" s="1" t="s">
        <v>20</v>
      </c>
      <c r="L103" s="1" t="s">
        <v>69</v>
      </c>
      <c r="M103" s="1">
        <v>6.5</v>
      </c>
      <c r="N103" s="1">
        <v>67.61</v>
      </c>
      <c r="O103" s="1">
        <v>16999000</v>
      </c>
      <c r="P103" t="s">
        <v>2281</v>
      </c>
    </row>
    <row r="104" spans="1:16" x14ac:dyDescent="0.3">
      <c r="A104" s="1" t="s">
        <v>312</v>
      </c>
      <c r="B104" s="1" t="s">
        <v>14</v>
      </c>
      <c r="C104" s="1" t="s">
        <v>313</v>
      </c>
      <c r="D104" s="1" t="s">
        <v>72</v>
      </c>
      <c r="E104" s="1" t="s">
        <v>72</v>
      </c>
      <c r="F104" s="1" t="s">
        <v>45</v>
      </c>
      <c r="G104" s="6">
        <v>45186</v>
      </c>
      <c r="H104" s="1">
        <v>2011</v>
      </c>
      <c r="I104" t="s">
        <v>89</v>
      </c>
      <c r="J104" s="1">
        <v>3</v>
      </c>
      <c r="K104" s="1" t="s">
        <v>20</v>
      </c>
      <c r="L104" s="1" t="s">
        <v>35</v>
      </c>
      <c r="M104" s="1">
        <v>7.9</v>
      </c>
      <c r="N104" s="1">
        <v>70.84</v>
      </c>
      <c r="O104" s="1">
        <v>43949000</v>
      </c>
      <c r="P104" t="s">
        <v>2281</v>
      </c>
    </row>
    <row r="105" spans="1:16" x14ac:dyDescent="0.3">
      <c r="A105" s="1" t="s">
        <v>314</v>
      </c>
      <c r="B105" s="1" t="s">
        <v>14</v>
      </c>
      <c r="C105" s="1" t="s">
        <v>315</v>
      </c>
      <c r="D105" s="1" t="s">
        <v>49</v>
      </c>
      <c r="E105" s="1" t="s">
        <v>316</v>
      </c>
      <c r="F105" s="1" t="s">
        <v>59</v>
      </c>
      <c r="G105" s="6">
        <v>43577</v>
      </c>
      <c r="H105" s="1">
        <v>1992</v>
      </c>
      <c r="I105" t="s">
        <v>77</v>
      </c>
      <c r="J105" s="1">
        <v>10</v>
      </c>
      <c r="K105" s="1" t="s">
        <v>20</v>
      </c>
      <c r="L105" s="1" t="s">
        <v>52</v>
      </c>
      <c r="M105" s="1">
        <v>2.2000000000000002</v>
      </c>
      <c r="N105" s="1">
        <v>73.11</v>
      </c>
      <c r="O105" s="1">
        <v>43946000</v>
      </c>
      <c r="P105" t="s">
        <v>2281</v>
      </c>
    </row>
    <row r="106" spans="1:16" hidden="1" x14ac:dyDescent="0.3">
      <c r="A106" s="1" t="s">
        <v>317</v>
      </c>
      <c r="B106" s="1" t="s">
        <v>37</v>
      </c>
      <c r="C106" s="1" t="s">
        <v>318</v>
      </c>
      <c r="D106" s="1" t="s">
        <v>24</v>
      </c>
      <c r="E106" s="1" t="s">
        <v>319</v>
      </c>
      <c r="F106" s="1" t="s">
        <v>51</v>
      </c>
      <c r="G106" s="6">
        <v>44906</v>
      </c>
      <c r="H106" s="1">
        <v>1990</v>
      </c>
      <c r="I106" t="s">
        <v>77</v>
      </c>
      <c r="J106" s="1">
        <v>131</v>
      </c>
      <c r="K106" s="1" t="s">
        <v>28</v>
      </c>
      <c r="L106" s="1" t="s">
        <v>69</v>
      </c>
      <c r="M106" s="1">
        <v>7.9</v>
      </c>
      <c r="N106" s="1">
        <v>63.94</v>
      </c>
      <c r="O106" s="1">
        <v>74217000</v>
      </c>
      <c r="P106" t="s">
        <v>2281</v>
      </c>
    </row>
    <row r="107" spans="1:16" x14ac:dyDescent="0.3">
      <c r="A107" s="1" t="s">
        <v>320</v>
      </c>
      <c r="B107" s="1" t="s">
        <v>14</v>
      </c>
      <c r="C107" s="1" t="s">
        <v>321</v>
      </c>
      <c r="D107" s="1" t="s">
        <v>49</v>
      </c>
      <c r="E107" s="1" t="s">
        <v>198</v>
      </c>
      <c r="F107" s="1" t="s">
        <v>26</v>
      </c>
      <c r="G107" s="6">
        <v>44485</v>
      </c>
      <c r="H107" s="1">
        <v>2018</v>
      </c>
      <c r="I107" t="s">
        <v>89</v>
      </c>
      <c r="J107" s="1">
        <v>7</v>
      </c>
      <c r="K107" s="1" t="s">
        <v>20</v>
      </c>
      <c r="L107" s="1" t="s">
        <v>46</v>
      </c>
      <c r="M107" s="1">
        <v>1.4</v>
      </c>
      <c r="N107" s="1">
        <v>105.46</v>
      </c>
      <c r="O107" s="1">
        <v>42944000</v>
      </c>
      <c r="P107" t="s">
        <v>2282</v>
      </c>
    </row>
    <row r="108" spans="1:16" x14ac:dyDescent="0.3">
      <c r="A108" s="1" t="s">
        <v>322</v>
      </c>
      <c r="B108" s="1" t="s">
        <v>14</v>
      </c>
      <c r="C108" s="1" t="s">
        <v>323</v>
      </c>
      <c r="D108" s="1" t="s">
        <v>31</v>
      </c>
      <c r="E108" s="1" t="s">
        <v>17</v>
      </c>
      <c r="F108" s="1" t="s">
        <v>76</v>
      </c>
      <c r="G108" s="6">
        <v>42561</v>
      </c>
      <c r="H108" s="1">
        <v>1997</v>
      </c>
      <c r="I108" t="s">
        <v>55</v>
      </c>
      <c r="J108" s="1">
        <v>5</v>
      </c>
      <c r="K108" s="1" t="s">
        <v>20</v>
      </c>
      <c r="L108" s="1" t="s">
        <v>35</v>
      </c>
      <c r="M108" s="1">
        <v>5.4</v>
      </c>
      <c r="N108" s="1">
        <v>96.97</v>
      </c>
      <c r="O108" s="1">
        <v>51230000</v>
      </c>
      <c r="P108" t="s">
        <v>2282</v>
      </c>
    </row>
    <row r="109" spans="1:16" hidden="1" x14ac:dyDescent="0.3">
      <c r="A109" s="1" t="s">
        <v>324</v>
      </c>
      <c r="B109" s="1" t="s">
        <v>37</v>
      </c>
      <c r="C109" s="1" t="s">
        <v>325</v>
      </c>
      <c r="D109" s="1" t="s">
        <v>31</v>
      </c>
      <c r="E109" s="1" t="s">
        <v>72</v>
      </c>
      <c r="F109" s="1" t="s">
        <v>18</v>
      </c>
      <c r="G109" s="6">
        <v>43872</v>
      </c>
      <c r="H109" s="1">
        <v>1990</v>
      </c>
      <c r="I109" t="s">
        <v>55</v>
      </c>
      <c r="J109" s="1">
        <v>155</v>
      </c>
      <c r="K109" s="1" t="s">
        <v>28</v>
      </c>
      <c r="L109" s="1" t="s">
        <v>35</v>
      </c>
      <c r="M109" s="1">
        <v>7.1</v>
      </c>
      <c r="N109" s="1">
        <v>47.45</v>
      </c>
      <c r="O109" s="1">
        <v>47852000</v>
      </c>
      <c r="P109" t="s">
        <v>2281</v>
      </c>
    </row>
    <row r="110" spans="1:16" x14ac:dyDescent="0.3">
      <c r="A110" s="1" t="s">
        <v>326</v>
      </c>
      <c r="B110" s="1" t="s">
        <v>14</v>
      </c>
      <c r="C110" s="1" t="s">
        <v>327</v>
      </c>
      <c r="D110" s="1" t="s">
        <v>62</v>
      </c>
      <c r="E110" s="1" t="s">
        <v>50</v>
      </c>
      <c r="F110" s="1" t="s">
        <v>18</v>
      </c>
      <c r="G110" s="6">
        <v>43520</v>
      </c>
      <c r="H110" s="1">
        <v>2019</v>
      </c>
      <c r="I110" t="s">
        <v>89</v>
      </c>
      <c r="J110" s="1">
        <v>3</v>
      </c>
      <c r="K110" s="1" t="s">
        <v>20</v>
      </c>
      <c r="L110" s="1" t="s">
        <v>46</v>
      </c>
      <c r="M110" s="1">
        <v>3.1</v>
      </c>
      <c r="N110" s="1">
        <v>33.83</v>
      </c>
      <c r="O110" s="1">
        <v>59618000</v>
      </c>
      <c r="P110" t="s">
        <v>2282</v>
      </c>
    </row>
    <row r="111" spans="1:16" hidden="1" x14ac:dyDescent="0.3">
      <c r="A111" s="1" t="s">
        <v>328</v>
      </c>
      <c r="B111" s="1" t="s">
        <v>37</v>
      </c>
      <c r="C111" s="1" t="s">
        <v>329</v>
      </c>
      <c r="D111" s="1" t="s">
        <v>49</v>
      </c>
      <c r="E111" s="1" t="s">
        <v>111</v>
      </c>
      <c r="F111" s="1" t="s">
        <v>158</v>
      </c>
      <c r="G111" s="6">
        <v>44603</v>
      </c>
      <c r="H111" s="1">
        <v>2023</v>
      </c>
      <c r="I111" t="s">
        <v>77</v>
      </c>
      <c r="J111" s="1">
        <v>85</v>
      </c>
      <c r="K111" s="1" t="s">
        <v>28</v>
      </c>
      <c r="L111" s="1" t="s">
        <v>69</v>
      </c>
      <c r="M111" s="1">
        <v>2.6</v>
      </c>
      <c r="N111" s="1">
        <v>76.150000000000006</v>
      </c>
      <c r="O111" s="1">
        <v>8118000</v>
      </c>
      <c r="P111" t="s">
        <v>2282</v>
      </c>
    </row>
    <row r="112" spans="1:16" hidden="1" x14ac:dyDescent="0.3">
      <c r="A112" s="1" t="s">
        <v>330</v>
      </c>
      <c r="B112" s="1" t="s">
        <v>37</v>
      </c>
      <c r="C112" s="1" t="s">
        <v>331</v>
      </c>
      <c r="D112" s="1" t="s">
        <v>16</v>
      </c>
      <c r="E112" s="1" t="s">
        <v>72</v>
      </c>
      <c r="F112" s="1" t="s">
        <v>158</v>
      </c>
      <c r="G112" s="6">
        <v>43939</v>
      </c>
      <c r="H112" s="1">
        <v>2009</v>
      </c>
      <c r="I112" t="s">
        <v>34</v>
      </c>
      <c r="J112" s="1">
        <v>139</v>
      </c>
      <c r="K112" s="1" t="s">
        <v>28</v>
      </c>
      <c r="L112" s="1" t="s">
        <v>21</v>
      </c>
      <c r="M112" s="1">
        <v>6.6</v>
      </c>
      <c r="N112" s="1">
        <v>9.69</v>
      </c>
      <c r="O112" s="1">
        <v>62835000</v>
      </c>
      <c r="P112" t="s">
        <v>2281</v>
      </c>
    </row>
    <row r="113" spans="1:16" hidden="1" x14ac:dyDescent="0.3">
      <c r="A113" s="1" t="s">
        <v>332</v>
      </c>
      <c r="B113" s="1" t="s">
        <v>37</v>
      </c>
      <c r="C113" s="1" t="s">
        <v>333</v>
      </c>
      <c r="D113" s="1" t="s">
        <v>62</v>
      </c>
      <c r="E113" s="1" t="s">
        <v>195</v>
      </c>
      <c r="F113" s="1" t="s">
        <v>51</v>
      </c>
      <c r="G113" s="6">
        <v>43987</v>
      </c>
      <c r="H113" s="1">
        <v>2020</v>
      </c>
      <c r="I113" t="s">
        <v>77</v>
      </c>
      <c r="J113" s="1">
        <v>119</v>
      </c>
      <c r="K113" s="1" t="s">
        <v>28</v>
      </c>
      <c r="L113" s="1" t="s">
        <v>21</v>
      </c>
      <c r="M113" s="1">
        <v>3.8</v>
      </c>
      <c r="N113" s="1">
        <v>126.24</v>
      </c>
      <c r="O113" s="1">
        <v>82858000</v>
      </c>
      <c r="P113" t="s">
        <v>2281</v>
      </c>
    </row>
    <row r="114" spans="1:16" x14ac:dyDescent="0.3">
      <c r="A114" s="1" t="s">
        <v>334</v>
      </c>
      <c r="B114" s="1" t="s">
        <v>14</v>
      </c>
      <c r="C114" s="1" t="s">
        <v>335</v>
      </c>
      <c r="D114" s="1" t="s">
        <v>49</v>
      </c>
      <c r="E114" s="1" t="s">
        <v>123</v>
      </c>
      <c r="F114" s="1" t="s">
        <v>158</v>
      </c>
      <c r="G114" s="6">
        <v>45189</v>
      </c>
      <c r="H114" s="1">
        <v>2022</v>
      </c>
      <c r="I114" t="s">
        <v>19</v>
      </c>
      <c r="J114" s="1">
        <v>5</v>
      </c>
      <c r="K114" s="1" t="s">
        <v>20</v>
      </c>
      <c r="L114" s="1" t="s">
        <v>46</v>
      </c>
      <c r="M114" s="1">
        <v>9.9</v>
      </c>
      <c r="N114" s="1">
        <v>97.17</v>
      </c>
      <c r="O114" s="1">
        <v>21787000</v>
      </c>
      <c r="P114" t="s">
        <v>2281</v>
      </c>
    </row>
    <row r="115" spans="1:16" x14ac:dyDescent="0.3">
      <c r="A115" s="1" t="s">
        <v>336</v>
      </c>
      <c r="B115" s="1" t="s">
        <v>14</v>
      </c>
      <c r="C115" s="1" t="s">
        <v>337</v>
      </c>
      <c r="D115" s="1" t="s">
        <v>39</v>
      </c>
      <c r="E115" s="1" t="s">
        <v>216</v>
      </c>
      <c r="F115" s="1" t="s">
        <v>33</v>
      </c>
      <c r="G115" s="6">
        <v>43570</v>
      </c>
      <c r="H115" s="1">
        <v>2013</v>
      </c>
      <c r="I115" t="s">
        <v>34</v>
      </c>
      <c r="J115" s="1">
        <v>7</v>
      </c>
      <c r="K115" s="1" t="s">
        <v>20</v>
      </c>
      <c r="L115" s="1" t="s">
        <v>69</v>
      </c>
      <c r="M115" s="1">
        <v>1.4</v>
      </c>
      <c r="N115" s="1">
        <v>36.49</v>
      </c>
      <c r="O115" s="1">
        <v>94732000</v>
      </c>
      <c r="P115" t="s">
        <v>2282</v>
      </c>
    </row>
    <row r="116" spans="1:16" hidden="1" x14ac:dyDescent="0.3">
      <c r="A116" s="1" t="s">
        <v>338</v>
      </c>
      <c r="B116" s="1" t="s">
        <v>37</v>
      </c>
      <c r="C116" s="1" t="s">
        <v>339</v>
      </c>
      <c r="D116" s="1" t="s">
        <v>16</v>
      </c>
      <c r="E116" s="1" t="s">
        <v>319</v>
      </c>
      <c r="F116" s="1" t="s">
        <v>158</v>
      </c>
      <c r="G116" s="6">
        <v>44573</v>
      </c>
      <c r="H116" s="1">
        <v>2003</v>
      </c>
      <c r="I116" t="s">
        <v>89</v>
      </c>
      <c r="J116" s="1">
        <v>136</v>
      </c>
      <c r="K116" s="1" t="s">
        <v>28</v>
      </c>
      <c r="L116" s="1" t="s">
        <v>69</v>
      </c>
      <c r="M116" s="1">
        <v>9.6</v>
      </c>
      <c r="N116" s="1">
        <v>101.15</v>
      </c>
      <c r="O116" s="1">
        <v>83877000</v>
      </c>
      <c r="P116" t="s">
        <v>2282</v>
      </c>
    </row>
    <row r="117" spans="1:16" hidden="1" x14ac:dyDescent="0.3">
      <c r="A117" s="1" t="s">
        <v>340</v>
      </c>
      <c r="B117" s="1" t="s">
        <v>37</v>
      </c>
      <c r="C117" s="1" t="s">
        <v>341</v>
      </c>
      <c r="D117" s="1" t="s">
        <v>72</v>
      </c>
      <c r="E117" s="1" t="s">
        <v>207</v>
      </c>
      <c r="F117" s="1" t="s">
        <v>51</v>
      </c>
      <c r="G117" s="6">
        <v>42963</v>
      </c>
      <c r="H117" s="1">
        <v>1991</v>
      </c>
      <c r="I117" t="s">
        <v>77</v>
      </c>
      <c r="J117" s="1">
        <v>97</v>
      </c>
      <c r="K117" s="1" t="s">
        <v>28</v>
      </c>
      <c r="L117" s="1" t="s">
        <v>41</v>
      </c>
      <c r="M117" s="1">
        <v>3.1</v>
      </c>
      <c r="N117" s="1">
        <v>135.76</v>
      </c>
      <c r="O117" s="1">
        <v>6124000</v>
      </c>
      <c r="P117" t="s">
        <v>2281</v>
      </c>
    </row>
    <row r="118" spans="1:16" x14ac:dyDescent="0.3">
      <c r="A118" s="1" t="s">
        <v>342</v>
      </c>
      <c r="B118" s="1" t="s">
        <v>14</v>
      </c>
      <c r="C118" s="1" t="s">
        <v>343</v>
      </c>
      <c r="D118" s="1" t="s">
        <v>31</v>
      </c>
      <c r="E118" s="1" t="s">
        <v>344</v>
      </c>
      <c r="F118" s="1" t="s">
        <v>76</v>
      </c>
      <c r="G118" s="6">
        <v>45121</v>
      </c>
      <c r="H118" s="1">
        <v>2017</v>
      </c>
      <c r="I118" t="s">
        <v>34</v>
      </c>
      <c r="J118" s="1">
        <v>10</v>
      </c>
      <c r="K118" s="1" t="s">
        <v>20</v>
      </c>
      <c r="L118" s="1" t="s">
        <v>41</v>
      </c>
      <c r="M118" s="1">
        <v>3.7</v>
      </c>
      <c r="N118" s="1">
        <v>10.55</v>
      </c>
      <c r="O118" s="1">
        <v>4936000</v>
      </c>
      <c r="P118" t="s">
        <v>2281</v>
      </c>
    </row>
    <row r="119" spans="1:16" x14ac:dyDescent="0.3">
      <c r="A119" s="1" t="s">
        <v>345</v>
      </c>
      <c r="B119" s="1" t="s">
        <v>14</v>
      </c>
      <c r="C119" s="1" t="s">
        <v>346</v>
      </c>
      <c r="D119" s="1" t="s">
        <v>49</v>
      </c>
      <c r="E119" s="1" t="s">
        <v>347</v>
      </c>
      <c r="F119" s="1" t="s">
        <v>45</v>
      </c>
      <c r="G119" s="6">
        <v>44224</v>
      </c>
      <c r="H119" s="1">
        <v>2010</v>
      </c>
      <c r="I119" t="s">
        <v>89</v>
      </c>
      <c r="J119" s="1">
        <v>1</v>
      </c>
      <c r="K119" s="1" t="s">
        <v>20</v>
      </c>
      <c r="L119" s="1" t="s">
        <v>35</v>
      </c>
      <c r="M119" s="1">
        <v>2.9</v>
      </c>
      <c r="N119" s="1">
        <v>33.520000000000003</v>
      </c>
      <c r="O119" s="1">
        <v>39221000</v>
      </c>
      <c r="P119" t="s">
        <v>2281</v>
      </c>
    </row>
    <row r="120" spans="1:16" hidden="1" x14ac:dyDescent="0.3">
      <c r="A120" s="1" t="s">
        <v>348</v>
      </c>
      <c r="B120" s="1" t="s">
        <v>37</v>
      </c>
      <c r="C120" s="1" t="s">
        <v>349</v>
      </c>
      <c r="D120" s="1" t="s">
        <v>49</v>
      </c>
      <c r="E120" s="1" t="s">
        <v>222</v>
      </c>
      <c r="F120" s="1" t="s">
        <v>158</v>
      </c>
      <c r="G120" s="6">
        <v>43680</v>
      </c>
      <c r="H120" s="1">
        <v>1990</v>
      </c>
      <c r="I120" t="s">
        <v>89</v>
      </c>
      <c r="J120" s="1">
        <v>99</v>
      </c>
      <c r="K120" s="1" t="s">
        <v>28</v>
      </c>
      <c r="L120" s="1" t="s">
        <v>46</v>
      </c>
      <c r="M120" s="1">
        <v>9.1999999999999993</v>
      </c>
      <c r="N120" s="1">
        <v>96.17</v>
      </c>
      <c r="O120" s="1">
        <v>75558000</v>
      </c>
      <c r="P120" t="s">
        <v>2282</v>
      </c>
    </row>
    <row r="121" spans="1:16" hidden="1" x14ac:dyDescent="0.3">
      <c r="A121" s="1" t="s">
        <v>350</v>
      </c>
      <c r="B121" s="1" t="s">
        <v>37</v>
      </c>
      <c r="C121" s="1" t="s">
        <v>351</v>
      </c>
      <c r="D121" s="1" t="s">
        <v>39</v>
      </c>
      <c r="E121" s="1" t="s">
        <v>75</v>
      </c>
      <c r="F121" s="1" t="s">
        <v>59</v>
      </c>
      <c r="G121" s="6">
        <v>44123</v>
      </c>
      <c r="H121" s="1">
        <v>2012</v>
      </c>
      <c r="I121" t="s">
        <v>77</v>
      </c>
      <c r="J121" s="1">
        <v>63</v>
      </c>
      <c r="K121" s="1" t="s">
        <v>28</v>
      </c>
      <c r="L121" s="1" t="s">
        <v>46</v>
      </c>
      <c r="M121" s="1">
        <v>9.3000000000000007</v>
      </c>
      <c r="N121" s="1">
        <v>22.66</v>
      </c>
      <c r="O121" s="1">
        <v>60319000</v>
      </c>
      <c r="P121" t="s">
        <v>2281</v>
      </c>
    </row>
    <row r="122" spans="1:16" hidden="1" x14ac:dyDescent="0.3">
      <c r="A122" s="1" t="s">
        <v>352</v>
      </c>
      <c r="B122" s="1" t="s">
        <v>37</v>
      </c>
      <c r="C122" s="1" t="s">
        <v>353</v>
      </c>
      <c r="D122" s="1" t="s">
        <v>62</v>
      </c>
      <c r="E122" s="1" t="s">
        <v>354</v>
      </c>
      <c r="F122" s="1" t="s">
        <v>26</v>
      </c>
      <c r="G122" s="6">
        <v>42558</v>
      </c>
      <c r="H122" s="1">
        <v>1991</v>
      </c>
      <c r="I122" t="s">
        <v>89</v>
      </c>
      <c r="J122" s="1">
        <v>142</v>
      </c>
      <c r="K122" s="1" t="s">
        <v>28</v>
      </c>
      <c r="L122" s="1" t="s">
        <v>35</v>
      </c>
      <c r="M122" s="1">
        <v>1.5</v>
      </c>
      <c r="N122" s="1">
        <v>130.37</v>
      </c>
      <c r="O122" s="1">
        <v>6713000</v>
      </c>
      <c r="P122" t="s">
        <v>2282</v>
      </c>
    </row>
    <row r="123" spans="1:16" hidden="1" x14ac:dyDescent="0.3">
      <c r="A123" s="1" t="s">
        <v>355</v>
      </c>
      <c r="B123" s="1" t="s">
        <v>37</v>
      </c>
      <c r="C123" s="1" t="s">
        <v>356</v>
      </c>
      <c r="D123" s="1" t="s">
        <v>16</v>
      </c>
      <c r="E123" s="1" t="s">
        <v>357</v>
      </c>
      <c r="F123" s="1" t="s">
        <v>76</v>
      </c>
      <c r="G123" s="6">
        <v>43374</v>
      </c>
      <c r="H123" s="1">
        <v>1997</v>
      </c>
      <c r="I123" t="s">
        <v>34</v>
      </c>
      <c r="J123" s="1">
        <v>129</v>
      </c>
      <c r="K123" s="1" t="s">
        <v>28</v>
      </c>
      <c r="L123" s="1" t="s">
        <v>46</v>
      </c>
      <c r="M123" s="1">
        <v>6.6</v>
      </c>
      <c r="N123" s="1">
        <v>77.13</v>
      </c>
      <c r="O123" s="1">
        <v>3326000</v>
      </c>
      <c r="P123" t="s">
        <v>2282</v>
      </c>
    </row>
    <row r="124" spans="1:16" hidden="1" x14ac:dyDescent="0.3">
      <c r="A124" s="1" t="s">
        <v>358</v>
      </c>
      <c r="B124" s="1" t="s">
        <v>37</v>
      </c>
      <c r="C124" s="1" t="s">
        <v>359</v>
      </c>
      <c r="D124" s="1" t="s">
        <v>49</v>
      </c>
      <c r="E124" s="1" t="s">
        <v>354</v>
      </c>
      <c r="F124" s="1" t="s">
        <v>59</v>
      </c>
      <c r="G124" s="6">
        <v>44437</v>
      </c>
      <c r="H124" s="1">
        <v>2011</v>
      </c>
      <c r="I124" t="s">
        <v>55</v>
      </c>
      <c r="J124" s="1">
        <v>161</v>
      </c>
      <c r="K124" s="1" t="s">
        <v>28</v>
      </c>
      <c r="L124" s="1" t="s">
        <v>35</v>
      </c>
      <c r="M124" s="1">
        <v>8.1999999999999993</v>
      </c>
      <c r="N124" s="1">
        <v>2.4300000000000002</v>
      </c>
      <c r="O124" s="1">
        <v>88446000</v>
      </c>
      <c r="P124" t="s">
        <v>2282</v>
      </c>
    </row>
    <row r="125" spans="1:16" hidden="1" x14ac:dyDescent="0.3">
      <c r="A125" s="1" t="s">
        <v>360</v>
      </c>
      <c r="B125" s="1" t="s">
        <v>37</v>
      </c>
      <c r="C125" s="1" t="s">
        <v>361</v>
      </c>
      <c r="D125" s="1" t="s">
        <v>31</v>
      </c>
      <c r="E125" s="1" t="s">
        <v>309</v>
      </c>
      <c r="F125" s="1" t="s">
        <v>158</v>
      </c>
      <c r="G125" s="6">
        <v>44573</v>
      </c>
      <c r="H125" s="1">
        <v>2012</v>
      </c>
      <c r="I125" t="s">
        <v>34</v>
      </c>
      <c r="J125" s="1">
        <v>175</v>
      </c>
      <c r="K125" s="1" t="s">
        <v>28</v>
      </c>
      <c r="L125" s="1" t="s">
        <v>52</v>
      </c>
      <c r="M125" s="1">
        <v>4.4000000000000004</v>
      </c>
      <c r="N125" s="1">
        <v>24.05</v>
      </c>
      <c r="O125" s="1">
        <v>30909000</v>
      </c>
      <c r="P125" t="s">
        <v>2282</v>
      </c>
    </row>
    <row r="126" spans="1:16" hidden="1" x14ac:dyDescent="0.3">
      <c r="A126" s="1" t="s">
        <v>362</v>
      </c>
      <c r="B126" s="1" t="s">
        <v>37</v>
      </c>
      <c r="C126" s="1" t="s">
        <v>363</v>
      </c>
      <c r="D126" s="1" t="s">
        <v>24</v>
      </c>
      <c r="E126" s="1" t="s">
        <v>364</v>
      </c>
      <c r="F126" s="1" t="s">
        <v>59</v>
      </c>
      <c r="G126" s="6">
        <v>43753</v>
      </c>
      <c r="H126" s="1">
        <v>2019</v>
      </c>
      <c r="I126" t="s">
        <v>55</v>
      </c>
      <c r="J126" s="1">
        <v>117</v>
      </c>
      <c r="K126" s="1" t="s">
        <v>28</v>
      </c>
      <c r="L126" s="1" t="s">
        <v>46</v>
      </c>
      <c r="M126" s="1">
        <v>2.2000000000000002</v>
      </c>
      <c r="N126" s="1">
        <v>17.89</v>
      </c>
      <c r="O126" s="1">
        <v>31512000</v>
      </c>
      <c r="P126" t="s">
        <v>2282</v>
      </c>
    </row>
    <row r="127" spans="1:16" x14ac:dyDescent="0.3">
      <c r="A127" s="1" t="s">
        <v>365</v>
      </c>
      <c r="B127" s="1" t="s">
        <v>14</v>
      </c>
      <c r="C127" s="1" t="s">
        <v>366</v>
      </c>
      <c r="D127" s="1" t="s">
        <v>39</v>
      </c>
      <c r="E127" s="1" t="s">
        <v>367</v>
      </c>
      <c r="F127" s="1" t="s">
        <v>158</v>
      </c>
      <c r="G127" s="6">
        <v>44655</v>
      </c>
      <c r="H127" s="1">
        <v>1999</v>
      </c>
      <c r="I127" t="s">
        <v>27</v>
      </c>
      <c r="J127" s="1">
        <v>8</v>
      </c>
      <c r="K127" s="1" t="s">
        <v>20</v>
      </c>
      <c r="L127" s="1" t="s">
        <v>21</v>
      </c>
      <c r="M127" s="1">
        <v>1.6</v>
      </c>
      <c r="N127" s="1">
        <v>87.39</v>
      </c>
      <c r="O127" s="1">
        <v>69970000</v>
      </c>
      <c r="P127" t="s">
        <v>2281</v>
      </c>
    </row>
    <row r="128" spans="1:16" x14ac:dyDescent="0.3">
      <c r="A128" s="1" t="s">
        <v>368</v>
      </c>
      <c r="B128" s="1" t="s">
        <v>14</v>
      </c>
      <c r="C128" s="1" t="s">
        <v>369</v>
      </c>
      <c r="D128" s="1" t="s">
        <v>16</v>
      </c>
      <c r="E128" s="1" t="s">
        <v>63</v>
      </c>
      <c r="F128" s="1" t="s">
        <v>45</v>
      </c>
      <c r="G128" s="6">
        <v>44635</v>
      </c>
      <c r="H128" s="1">
        <v>1993</v>
      </c>
      <c r="I128" t="s">
        <v>77</v>
      </c>
      <c r="J128" s="1">
        <v>4</v>
      </c>
      <c r="K128" s="1" t="s">
        <v>20</v>
      </c>
      <c r="L128" s="1" t="s">
        <v>69</v>
      </c>
      <c r="M128" s="1">
        <v>5</v>
      </c>
      <c r="N128" s="1">
        <v>50.83</v>
      </c>
      <c r="O128" s="1">
        <v>100445000</v>
      </c>
      <c r="P128" t="s">
        <v>2281</v>
      </c>
    </row>
    <row r="129" spans="1:16" x14ac:dyDescent="0.3">
      <c r="A129" s="1" t="s">
        <v>370</v>
      </c>
      <c r="B129" s="1" t="s">
        <v>14</v>
      </c>
      <c r="C129" s="1" t="s">
        <v>371</v>
      </c>
      <c r="D129" s="1" t="s">
        <v>72</v>
      </c>
      <c r="E129" s="1" t="s">
        <v>372</v>
      </c>
      <c r="F129" s="1" t="s">
        <v>158</v>
      </c>
      <c r="G129" s="6">
        <v>42425</v>
      </c>
      <c r="H129" s="1">
        <v>2001</v>
      </c>
      <c r="I129" t="s">
        <v>89</v>
      </c>
      <c r="J129" s="1">
        <v>2</v>
      </c>
      <c r="K129" s="1" t="s">
        <v>20</v>
      </c>
      <c r="L129" s="1" t="s">
        <v>41</v>
      </c>
      <c r="M129" s="1">
        <v>7.6</v>
      </c>
      <c r="N129" s="1">
        <v>126.07</v>
      </c>
      <c r="O129" s="1">
        <v>31778000</v>
      </c>
      <c r="P129" t="s">
        <v>2282</v>
      </c>
    </row>
    <row r="130" spans="1:16" x14ac:dyDescent="0.3">
      <c r="A130" s="1" t="s">
        <v>373</v>
      </c>
      <c r="B130" s="1" t="s">
        <v>14</v>
      </c>
      <c r="C130" s="1" t="s">
        <v>374</v>
      </c>
      <c r="D130" s="1" t="s">
        <v>16</v>
      </c>
      <c r="E130" s="1" t="s">
        <v>72</v>
      </c>
      <c r="F130" s="1" t="s">
        <v>59</v>
      </c>
      <c r="G130" s="6">
        <v>43038</v>
      </c>
      <c r="H130" s="1">
        <v>2007</v>
      </c>
      <c r="I130" t="s">
        <v>77</v>
      </c>
      <c r="J130" s="1">
        <v>4</v>
      </c>
      <c r="K130" s="1" t="s">
        <v>20</v>
      </c>
      <c r="L130" s="1" t="s">
        <v>69</v>
      </c>
      <c r="M130" s="1">
        <v>8.8000000000000007</v>
      </c>
      <c r="N130" s="1">
        <v>86.05</v>
      </c>
      <c r="O130" s="1">
        <v>48406000</v>
      </c>
      <c r="P130" t="s">
        <v>2281</v>
      </c>
    </row>
    <row r="131" spans="1:16" hidden="1" x14ac:dyDescent="0.3">
      <c r="A131" s="1" t="s">
        <v>375</v>
      </c>
      <c r="B131" s="1" t="s">
        <v>37</v>
      </c>
      <c r="C131" s="1" t="s">
        <v>376</v>
      </c>
      <c r="D131" s="1" t="s">
        <v>31</v>
      </c>
      <c r="E131" s="1" t="s">
        <v>377</v>
      </c>
      <c r="F131" s="1" t="s">
        <v>33</v>
      </c>
      <c r="G131" s="6">
        <v>42925</v>
      </c>
      <c r="H131" s="1">
        <v>2004</v>
      </c>
      <c r="I131" t="s">
        <v>55</v>
      </c>
      <c r="J131" s="1">
        <v>146</v>
      </c>
      <c r="K131" s="1" t="s">
        <v>28</v>
      </c>
      <c r="L131" s="1" t="s">
        <v>52</v>
      </c>
      <c r="M131" s="1">
        <v>5</v>
      </c>
      <c r="N131" s="1">
        <v>3.7</v>
      </c>
      <c r="O131" s="1">
        <v>71319000</v>
      </c>
      <c r="P131" t="s">
        <v>2281</v>
      </c>
    </row>
    <row r="132" spans="1:16" x14ac:dyDescent="0.3">
      <c r="A132" s="1" t="s">
        <v>378</v>
      </c>
      <c r="B132" s="1" t="s">
        <v>14</v>
      </c>
      <c r="C132" s="1" t="s">
        <v>379</v>
      </c>
      <c r="D132" s="1" t="s">
        <v>72</v>
      </c>
      <c r="E132" s="1" t="s">
        <v>72</v>
      </c>
      <c r="F132" s="1" t="s">
        <v>59</v>
      </c>
      <c r="G132" s="6">
        <v>42815</v>
      </c>
      <c r="H132" s="1">
        <v>2000</v>
      </c>
      <c r="I132" t="s">
        <v>89</v>
      </c>
      <c r="J132" s="1">
        <v>4</v>
      </c>
      <c r="K132" s="1" t="s">
        <v>20</v>
      </c>
      <c r="L132" s="1" t="s">
        <v>69</v>
      </c>
      <c r="M132" s="1">
        <v>5.3</v>
      </c>
      <c r="N132" s="1">
        <v>95.32</v>
      </c>
      <c r="O132" s="1">
        <v>72870000</v>
      </c>
      <c r="P132" t="s">
        <v>2281</v>
      </c>
    </row>
    <row r="133" spans="1:16" hidden="1" x14ac:dyDescent="0.3">
      <c r="A133" s="1" t="s">
        <v>380</v>
      </c>
      <c r="B133" s="1" t="s">
        <v>37</v>
      </c>
      <c r="C133" s="1" t="s">
        <v>381</v>
      </c>
      <c r="D133" s="1" t="s">
        <v>24</v>
      </c>
      <c r="E133" s="1" t="s">
        <v>111</v>
      </c>
      <c r="F133" s="1" t="s">
        <v>26</v>
      </c>
      <c r="G133" s="6">
        <v>43351</v>
      </c>
      <c r="H133" s="1">
        <v>2021</v>
      </c>
      <c r="I133" t="s">
        <v>77</v>
      </c>
      <c r="J133" s="1">
        <v>123</v>
      </c>
      <c r="K133" s="1" t="s">
        <v>28</v>
      </c>
      <c r="L133" s="1" t="s">
        <v>69</v>
      </c>
      <c r="M133" s="1">
        <v>7.9</v>
      </c>
      <c r="N133" s="1">
        <v>75.47</v>
      </c>
      <c r="O133" s="1">
        <v>89799000</v>
      </c>
      <c r="P133" t="s">
        <v>2282</v>
      </c>
    </row>
    <row r="134" spans="1:16" x14ac:dyDescent="0.3">
      <c r="A134" s="1" t="s">
        <v>382</v>
      </c>
      <c r="B134" s="1" t="s">
        <v>14</v>
      </c>
      <c r="C134" s="1" t="s">
        <v>383</v>
      </c>
      <c r="D134" s="1" t="s">
        <v>24</v>
      </c>
      <c r="E134" s="1" t="s">
        <v>92</v>
      </c>
      <c r="F134" s="1" t="s">
        <v>18</v>
      </c>
      <c r="G134" s="6">
        <v>44992</v>
      </c>
      <c r="H134" s="1">
        <v>2014</v>
      </c>
      <c r="I134" t="s">
        <v>34</v>
      </c>
      <c r="J134" s="1">
        <v>4</v>
      </c>
      <c r="K134" s="1" t="s">
        <v>20</v>
      </c>
      <c r="L134" s="1" t="s">
        <v>41</v>
      </c>
      <c r="M134" s="1">
        <v>5.0999999999999996</v>
      </c>
      <c r="N134" s="1">
        <v>138.6</v>
      </c>
      <c r="O134" s="1">
        <v>67572000</v>
      </c>
      <c r="P134" t="s">
        <v>2282</v>
      </c>
    </row>
    <row r="135" spans="1:16" x14ac:dyDescent="0.3">
      <c r="A135" s="1" t="s">
        <v>384</v>
      </c>
      <c r="B135" s="1" t="s">
        <v>14</v>
      </c>
      <c r="C135" s="1" t="s">
        <v>385</v>
      </c>
      <c r="D135" s="1" t="s">
        <v>16</v>
      </c>
      <c r="E135" s="1" t="s">
        <v>386</v>
      </c>
      <c r="F135" s="1" t="s">
        <v>26</v>
      </c>
      <c r="G135" s="6">
        <v>44534</v>
      </c>
      <c r="H135" s="1">
        <v>1992</v>
      </c>
      <c r="I135" t="s">
        <v>34</v>
      </c>
      <c r="J135" s="1">
        <v>8</v>
      </c>
      <c r="K135" s="1" t="s">
        <v>20</v>
      </c>
      <c r="L135" s="1" t="s">
        <v>41</v>
      </c>
      <c r="M135" s="1">
        <v>4.4000000000000004</v>
      </c>
      <c r="N135" s="1">
        <v>42.27</v>
      </c>
      <c r="O135" s="1">
        <v>58598000</v>
      </c>
      <c r="P135" t="s">
        <v>2281</v>
      </c>
    </row>
    <row r="136" spans="1:16" hidden="1" x14ac:dyDescent="0.3">
      <c r="A136" s="1" t="s">
        <v>387</v>
      </c>
      <c r="B136" s="1" t="s">
        <v>37</v>
      </c>
      <c r="C136" s="1" t="s">
        <v>388</v>
      </c>
      <c r="D136" s="1" t="s">
        <v>31</v>
      </c>
      <c r="E136" s="1" t="s">
        <v>123</v>
      </c>
      <c r="F136" s="1" t="s">
        <v>51</v>
      </c>
      <c r="G136" s="6">
        <v>42308</v>
      </c>
      <c r="H136" s="1">
        <v>2004</v>
      </c>
      <c r="I136" t="s">
        <v>89</v>
      </c>
      <c r="J136" s="1">
        <v>176</v>
      </c>
      <c r="K136" s="1" t="s">
        <v>28</v>
      </c>
      <c r="L136" s="1" t="s">
        <v>46</v>
      </c>
      <c r="M136" s="1">
        <v>8.3000000000000007</v>
      </c>
      <c r="N136" s="1">
        <v>55.61</v>
      </c>
      <c r="O136" s="1">
        <v>97725000</v>
      </c>
      <c r="P136" t="s">
        <v>2282</v>
      </c>
    </row>
    <row r="137" spans="1:16" x14ac:dyDescent="0.3">
      <c r="A137" s="1" t="s">
        <v>389</v>
      </c>
      <c r="B137" s="1" t="s">
        <v>14</v>
      </c>
      <c r="C137" s="1" t="s">
        <v>390</v>
      </c>
      <c r="D137" s="1" t="s">
        <v>72</v>
      </c>
      <c r="E137" s="1" t="s">
        <v>391</v>
      </c>
      <c r="F137" s="1" t="s">
        <v>51</v>
      </c>
      <c r="G137" s="6">
        <v>42951</v>
      </c>
      <c r="H137" s="1">
        <v>2012</v>
      </c>
      <c r="I137" t="s">
        <v>55</v>
      </c>
      <c r="J137" s="1">
        <v>2</v>
      </c>
      <c r="K137" s="1" t="s">
        <v>20</v>
      </c>
      <c r="L137" s="1" t="s">
        <v>46</v>
      </c>
      <c r="M137" s="1">
        <v>4</v>
      </c>
      <c r="N137" s="1">
        <v>65.08</v>
      </c>
      <c r="O137" s="1">
        <v>30231000</v>
      </c>
      <c r="P137" t="s">
        <v>2282</v>
      </c>
    </row>
    <row r="138" spans="1:16" hidden="1" x14ac:dyDescent="0.3">
      <c r="A138" s="1" t="s">
        <v>392</v>
      </c>
      <c r="B138" s="1" t="s">
        <v>37</v>
      </c>
      <c r="C138" s="1" t="s">
        <v>393</v>
      </c>
      <c r="D138" s="1" t="s">
        <v>49</v>
      </c>
      <c r="E138" s="1" t="s">
        <v>75</v>
      </c>
      <c r="F138" s="1" t="s">
        <v>76</v>
      </c>
      <c r="G138" s="6">
        <v>44353</v>
      </c>
      <c r="H138" s="1">
        <v>2016</v>
      </c>
      <c r="I138" t="s">
        <v>19</v>
      </c>
      <c r="J138" s="1">
        <v>63</v>
      </c>
      <c r="K138" s="1" t="s">
        <v>28</v>
      </c>
      <c r="L138" s="1" t="s">
        <v>46</v>
      </c>
      <c r="M138" s="1">
        <v>6.4</v>
      </c>
      <c r="N138" s="1">
        <v>66.260000000000005</v>
      </c>
      <c r="O138" s="1">
        <v>71905000</v>
      </c>
      <c r="P138" t="s">
        <v>2282</v>
      </c>
    </row>
    <row r="139" spans="1:16" hidden="1" x14ac:dyDescent="0.3">
      <c r="A139" s="1" t="s">
        <v>394</v>
      </c>
      <c r="B139" s="1" t="s">
        <v>37</v>
      </c>
      <c r="C139" s="1" t="s">
        <v>395</v>
      </c>
      <c r="D139" s="1" t="s">
        <v>62</v>
      </c>
      <c r="E139" s="1" t="s">
        <v>40</v>
      </c>
      <c r="F139" s="1" t="s">
        <v>51</v>
      </c>
      <c r="G139" s="6">
        <v>44316</v>
      </c>
      <c r="H139" s="1">
        <v>2021</v>
      </c>
      <c r="I139" t="s">
        <v>27</v>
      </c>
      <c r="J139" s="1">
        <v>141</v>
      </c>
      <c r="K139" s="1" t="s">
        <v>28</v>
      </c>
      <c r="L139" s="1" t="s">
        <v>41</v>
      </c>
      <c r="M139" s="1">
        <v>4.0999999999999996</v>
      </c>
      <c r="N139" s="1">
        <v>147.38999999999999</v>
      </c>
      <c r="O139" s="1">
        <v>52924000</v>
      </c>
      <c r="P139" t="s">
        <v>2281</v>
      </c>
    </row>
    <row r="140" spans="1:16" x14ac:dyDescent="0.3">
      <c r="A140" s="1" t="s">
        <v>396</v>
      </c>
      <c r="B140" s="1" t="s">
        <v>14</v>
      </c>
      <c r="C140" s="1" t="s">
        <v>397</v>
      </c>
      <c r="D140" s="1" t="s">
        <v>72</v>
      </c>
      <c r="E140" s="1" t="s">
        <v>138</v>
      </c>
      <c r="F140" s="1" t="s">
        <v>59</v>
      </c>
      <c r="G140" s="6">
        <v>44095</v>
      </c>
      <c r="H140" s="1">
        <v>2008</v>
      </c>
      <c r="I140" t="s">
        <v>34</v>
      </c>
      <c r="J140" s="1">
        <v>2</v>
      </c>
      <c r="K140" s="1" t="s">
        <v>20</v>
      </c>
      <c r="L140" s="1" t="s">
        <v>52</v>
      </c>
      <c r="M140" s="1">
        <v>3.4</v>
      </c>
      <c r="N140" s="1">
        <v>66.63</v>
      </c>
      <c r="O140" s="1">
        <v>2438000</v>
      </c>
      <c r="P140" t="s">
        <v>2282</v>
      </c>
    </row>
    <row r="141" spans="1:16" x14ac:dyDescent="0.3">
      <c r="A141" s="1" t="s">
        <v>398</v>
      </c>
      <c r="B141" s="1" t="s">
        <v>14</v>
      </c>
      <c r="C141" s="1" t="s">
        <v>399</v>
      </c>
      <c r="D141" s="1" t="s">
        <v>24</v>
      </c>
      <c r="E141" s="1" t="s">
        <v>400</v>
      </c>
      <c r="F141" s="1" t="s">
        <v>158</v>
      </c>
      <c r="G141" s="6">
        <v>42833</v>
      </c>
      <c r="H141" s="1">
        <v>2008</v>
      </c>
      <c r="I141" t="s">
        <v>77</v>
      </c>
      <c r="J141" s="1">
        <v>7</v>
      </c>
      <c r="K141" s="1" t="s">
        <v>20</v>
      </c>
      <c r="L141" s="1" t="s">
        <v>46</v>
      </c>
      <c r="M141" s="1">
        <v>9.1</v>
      </c>
      <c r="N141" s="1">
        <v>130.38</v>
      </c>
      <c r="O141" s="1">
        <v>62901000</v>
      </c>
      <c r="P141" t="s">
        <v>2281</v>
      </c>
    </row>
    <row r="142" spans="1:16" x14ac:dyDescent="0.3">
      <c r="A142" s="1" t="s">
        <v>401</v>
      </c>
      <c r="B142" s="1" t="s">
        <v>14</v>
      </c>
      <c r="C142" s="1" t="s">
        <v>402</v>
      </c>
      <c r="D142" s="1" t="s">
        <v>24</v>
      </c>
      <c r="E142" s="1" t="s">
        <v>111</v>
      </c>
      <c r="F142" s="1" t="s">
        <v>158</v>
      </c>
      <c r="G142" s="6">
        <v>43606</v>
      </c>
      <c r="H142" s="1">
        <v>1998</v>
      </c>
      <c r="I142" t="s">
        <v>34</v>
      </c>
      <c r="J142" s="1">
        <v>10</v>
      </c>
      <c r="K142" s="1" t="s">
        <v>20</v>
      </c>
      <c r="L142" s="1" t="s">
        <v>52</v>
      </c>
      <c r="M142" s="1">
        <v>9.9</v>
      </c>
      <c r="N142" s="1">
        <v>15.65</v>
      </c>
      <c r="O142" s="1">
        <v>23427000</v>
      </c>
      <c r="P142" t="s">
        <v>2281</v>
      </c>
    </row>
    <row r="143" spans="1:16" hidden="1" x14ac:dyDescent="0.3">
      <c r="A143" s="1" t="s">
        <v>403</v>
      </c>
      <c r="B143" s="1" t="s">
        <v>37</v>
      </c>
      <c r="C143" s="1" t="s">
        <v>404</v>
      </c>
      <c r="D143" s="1" t="s">
        <v>72</v>
      </c>
      <c r="E143" s="1" t="s">
        <v>405</v>
      </c>
      <c r="F143" s="1" t="s">
        <v>158</v>
      </c>
      <c r="G143" s="6">
        <v>42162</v>
      </c>
      <c r="H143" s="1">
        <v>1991</v>
      </c>
      <c r="I143" t="s">
        <v>55</v>
      </c>
      <c r="J143" s="1">
        <v>109</v>
      </c>
      <c r="K143" s="1" t="s">
        <v>28</v>
      </c>
      <c r="L143" s="1" t="s">
        <v>35</v>
      </c>
      <c r="M143" s="1">
        <v>2.5</v>
      </c>
      <c r="N143" s="1">
        <v>37.31</v>
      </c>
      <c r="O143" s="1">
        <v>26918000</v>
      </c>
      <c r="P143" t="s">
        <v>2281</v>
      </c>
    </row>
    <row r="144" spans="1:16" hidden="1" x14ac:dyDescent="0.3">
      <c r="A144" s="1" t="s">
        <v>406</v>
      </c>
      <c r="B144" s="1" t="s">
        <v>37</v>
      </c>
      <c r="C144" s="1" t="s">
        <v>407</v>
      </c>
      <c r="D144" s="1" t="s">
        <v>24</v>
      </c>
      <c r="E144" s="1" t="s">
        <v>354</v>
      </c>
      <c r="F144" s="1" t="s">
        <v>59</v>
      </c>
      <c r="G144" s="6">
        <v>42441</v>
      </c>
      <c r="H144" s="1">
        <v>1992</v>
      </c>
      <c r="I144" t="s">
        <v>34</v>
      </c>
      <c r="J144" s="1">
        <v>89</v>
      </c>
      <c r="K144" s="1" t="s">
        <v>28</v>
      </c>
      <c r="L144" s="1" t="s">
        <v>41</v>
      </c>
      <c r="M144" s="1">
        <v>4.3</v>
      </c>
      <c r="N144" s="1">
        <v>99.44</v>
      </c>
      <c r="O144" s="1">
        <v>93658000</v>
      </c>
      <c r="P144" t="s">
        <v>2282</v>
      </c>
    </row>
    <row r="145" spans="1:16" hidden="1" x14ac:dyDescent="0.3">
      <c r="A145" s="1" t="s">
        <v>408</v>
      </c>
      <c r="B145" s="1" t="s">
        <v>37</v>
      </c>
      <c r="C145" s="1" t="s">
        <v>409</v>
      </c>
      <c r="D145" s="1" t="s">
        <v>24</v>
      </c>
      <c r="E145" s="1" t="s">
        <v>386</v>
      </c>
      <c r="F145" s="1" t="s">
        <v>18</v>
      </c>
      <c r="G145" s="6">
        <v>43752</v>
      </c>
      <c r="H145" s="1">
        <v>2010</v>
      </c>
      <c r="I145" t="s">
        <v>34</v>
      </c>
      <c r="J145" s="1">
        <v>152</v>
      </c>
      <c r="K145" s="1" t="s">
        <v>28</v>
      </c>
      <c r="L145" s="1" t="s">
        <v>35</v>
      </c>
      <c r="M145" s="1">
        <v>9.5</v>
      </c>
      <c r="N145" s="1">
        <v>63.51</v>
      </c>
      <c r="O145" s="1">
        <v>59109000</v>
      </c>
      <c r="P145" t="s">
        <v>2282</v>
      </c>
    </row>
    <row r="146" spans="1:16" x14ac:dyDescent="0.3">
      <c r="A146" s="1" t="s">
        <v>410</v>
      </c>
      <c r="B146" s="1" t="s">
        <v>14</v>
      </c>
      <c r="C146" s="1" t="s">
        <v>411</v>
      </c>
      <c r="D146" s="1" t="s">
        <v>72</v>
      </c>
      <c r="E146" s="1" t="s">
        <v>141</v>
      </c>
      <c r="F146" s="1" t="s">
        <v>26</v>
      </c>
      <c r="G146" s="6">
        <v>44591</v>
      </c>
      <c r="H146" s="1">
        <v>2003</v>
      </c>
      <c r="I146" t="s">
        <v>27</v>
      </c>
      <c r="J146" s="1">
        <v>6</v>
      </c>
      <c r="K146" s="1" t="s">
        <v>20</v>
      </c>
      <c r="L146" s="1" t="s">
        <v>21</v>
      </c>
      <c r="M146" s="1">
        <v>8.3000000000000007</v>
      </c>
      <c r="N146" s="1">
        <v>111</v>
      </c>
      <c r="O146" s="1">
        <v>49309000</v>
      </c>
      <c r="P146" t="s">
        <v>2281</v>
      </c>
    </row>
    <row r="147" spans="1:16" hidden="1" x14ac:dyDescent="0.3">
      <c r="A147" s="1" t="s">
        <v>412</v>
      </c>
      <c r="B147" s="1" t="s">
        <v>37</v>
      </c>
      <c r="C147" s="1" t="s">
        <v>413</v>
      </c>
      <c r="D147" s="1" t="s">
        <v>16</v>
      </c>
      <c r="E147" s="1" t="s">
        <v>414</v>
      </c>
      <c r="F147" s="1" t="s">
        <v>45</v>
      </c>
      <c r="G147" s="6">
        <v>43802</v>
      </c>
      <c r="H147" s="1">
        <v>2023</v>
      </c>
      <c r="I147" t="s">
        <v>19</v>
      </c>
      <c r="J147" s="1">
        <v>94</v>
      </c>
      <c r="K147" s="1" t="s">
        <v>28</v>
      </c>
      <c r="L147" s="1" t="s">
        <v>21</v>
      </c>
      <c r="M147" s="1">
        <v>8.3000000000000007</v>
      </c>
      <c r="N147" s="1">
        <v>32.659999999999997</v>
      </c>
      <c r="O147" s="1">
        <v>52831000</v>
      </c>
      <c r="P147" t="s">
        <v>2281</v>
      </c>
    </row>
    <row r="148" spans="1:16" hidden="1" x14ac:dyDescent="0.3">
      <c r="A148" s="1" t="s">
        <v>415</v>
      </c>
      <c r="B148" s="1" t="s">
        <v>37</v>
      </c>
      <c r="C148" s="1" t="s">
        <v>416</v>
      </c>
      <c r="D148" s="1" t="s">
        <v>31</v>
      </c>
      <c r="E148" s="1" t="s">
        <v>261</v>
      </c>
      <c r="F148" s="1" t="s">
        <v>76</v>
      </c>
      <c r="G148" s="6">
        <v>42589</v>
      </c>
      <c r="H148" s="1">
        <v>2020</v>
      </c>
      <c r="I148" t="s">
        <v>55</v>
      </c>
      <c r="J148" s="1">
        <v>103</v>
      </c>
      <c r="K148" s="1" t="s">
        <v>28</v>
      </c>
      <c r="L148" s="1" t="s">
        <v>41</v>
      </c>
      <c r="M148" s="1">
        <v>1.6</v>
      </c>
      <c r="N148" s="1">
        <v>42.94</v>
      </c>
      <c r="O148" s="1">
        <v>99590000</v>
      </c>
      <c r="P148" t="s">
        <v>2282</v>
      </c>
    </row>
    <row r="149" spans="1:16" x14ac:dyDescent="0.3">
      <c r="A149" s="1" t="s">
        <v>417</v>
      </c>
      <c r="B149" s="1" t="s">
        <v>14</v>
      </c>
      <c r="C149" s="1" t="s">
        <v>418</v>
      </c>
      <c r="D149" s="1" t="s">
        <v>16</v>
      </c>
      <c r="E149" s="1" t="s">
        <v>419</v>
      </c>
      <c r="F149" s="1" t="s">
        <v>26</v>
      </c>
      <c r="G149" s="6">
        <v>43203</v>
      </c>
      <c r="H149" s="1">
        <v>2006</v>
      </c>
      <c r="I149" t="s">
        <v>77</v>
      </c>
      <c r="J149" s="1">
        <v>8</v>
      </c>
      <c r="K149" s="1" t="s">
        <v>20</v>
      </c>
      <c r="L149" s="1" t="s">
        <v>69</v>
      </c>
      <c r="M149" s="1">
        <v>5.2</v>
      </c>
      <c r="N149" s="1">
        <v>123.17</v>
      </c>
      <c r="O149" s="1">
        <v>33927000</v>
      </c>
      <c r="P149" t="s">
        <v>2281</v>
      </c>
    </row>
    <row r="150" spans="1:16" x14ac:dyDescent="0.3">
      <c r="A150" s="1" t="s">
        <v>420</v>
      </c>
      <c r="B150" s="1" t="s">
        <v>14</v>
      </c>
      <c r="C150" s="1" t="s">
        <v>421</v>
      </c>
      <c r="D150" s="1" t="s">
        <v>16</v>
      </c>
      <c r="E150" s="1" t="s">
        <v>422</v>
      </c>
      <c r="F150" s="1" t="s">
        <v>26</v>
      </c>
      <c r="G150" s="6">
        <v>44872</v>
      </c>
      <c r="H150" s="1">
        <v>1999</v>
      </c>
      <c r="I150" t="s">
        <v>89</v>
      </c>
      <c r="J150" s="1">
        <v>2</v>
      </c>
      <c r="K150" s="1" t="s">
        <v>20</v>
      </c>
      <c r="L150" s="1" t="s">
        <v>21</v>
      </c>
      <c r="M150" s="1">
        <v>5.5</v>
      </c>
      <c r="N150" s="1">
        <v>149.69</v>
      </c>
      <c r="O150" s="1">
        <v>50605000</v>
      </c>
      <c r="P150" t="s">
        <v>2281</v>
      </c>
    </row>
    <row r="151" spans="1:16" hidden="1" x14ac:dyDescent="0.3">
      <c r="A151" s="1" t="s">
        <v>423</v>
      </c>
      <c r="B151" s="1" t="s">
        <v>37</v>
      </c>
      <c r="C151" s="1" t="s">
        <v>424</v>
      </c>
      <c r="D151" s="1" t="s">
        <v>62</v>
      </c>
      <c r="E151" s="1" t="s">
        <v>123</v>
      </c>
      <c r="F151" s="1" t="s">
        <v>26</v>
      </c>
      <c r="G151" s="6">
        <v>42541</v>
      </c>
      <c r="H151" s="1">
        <v>2010</v>
      </c>
      <c r="I151" t="s">
        <v>34</v>
      </c>
      <c r="J151" s="1">
        <v>114</v>
      </c>
      <c r="K151" s="1" t="s">
        <v>28</v>
      </c>
      <c r="L151" s="1" t="s">
        <v>35</v>
      </c>
      <c r="M151" s="1">
        <v>4.5</v>
      </c>
      <c r="N151" s="1">
        <v>10.44</v>
      </c>
      <c r="O151" s="1">
        <v>59684000</v>
      </c>
      <c r="P151" t="s">
        <v>2281</v>
      </c>
    </row>
    <row r="152" spans="1:16" x14ac:dyDescent="0.3">
      <c r="A152" s="1" t="s">
        <v>425</v>
      </c>
      <c r="B152" s="1" t="s">
        <v>14</v>
      </c>
      <c r="C152" s="1" t="s">
        <v>426</v>
      </c>
      <c r="D152" s="1" t="s">
        <v>72</v>
      </c>
      <c r="E152" s="1" t="s">
        <v>80</v>
      </c>
      <c r="F152" s="1" t="s">
        <v>51</v>
      </c>
      <c r="G152" s="6">
        <v>42200</v>
      </c>
      <c r="H152" s="1">
        <v>2007</v>
      </c>
      <c r="I152" t="s">
        <v>34</v>
      </c>
      <c r="J152" s="1">
        <v>8</v>
      </c>
      <c r="K152" s="1" t="s">
        <v>20</v>
      </c>
      <c r="L152" s="1" t="s">
        <v>46</v>
      </c>
      <c r="M152" s="1">
        <v>6.3</v>
      </c>
      <c r="N152" s="1">
        <v>22.71</v>
      </c>
      <c r="O152" s="1">
        <v>46794000</v>
      </c>
      <c r="P152" t="s">
        <v>2281</v>
      </c>
    </row>
    <row r="153" spans="1:16" hidden="1" x14ac:dyDescent="0.3">
      <c r="A153" s="1" t="s">
        <v>427</v>
      </c>
      <c r="B153" s="1" t="s">
        <v>37</v>
      </c>
      <c r="C153" s="1" t="s">
        <v>428</v>
      </c>
      <c r="D153" s="1" t="s">
        <v>16</v>
      </c>
      <c r="E153" s="1" t="s">
        <v>32</v>
      </c>
      <c r="F153" s="1" t="s">
        <v>26</v>
      </c>
      <c r="G153" s="6">
        <v>43406</v>
      </c>
      <c r="H153" s="1">
        <v>2022</v>
      </c>
      <c r="I153" t="s">
        <v>55</v>
      </c>
      <c r="J153" s="1">
        <v>150</v>
      </c>
      <c r="K153" s="1" t="s">
        <v>28</v>
      </c>
      <c r="L153" s="1" t="s">
        <v>46</v>
      </c>
      <c r="M153" s="1">
        <v>6.8</v>
      </c>
      <c r="N153" s="1">
        <v>122.32</v>
      </c>
      <c r="O153" s="1">
        <v>45720000</v>
      </c>
      <c r="P153" t="s">
        <v>2282</v>
      </c>
    </row>
    <row r="154" spans="1:16" hidden="1" x14ac:dyDescent="0.3">
      <c r="A154" s="1" t="s">
        <v>429</v>
      </c>
      <c r="B154" s="1" t="s">
        <v>37</v>
      </c>
      <c r="C154" s="1" t="s">
        <v>430</v>
      </c>
      <c r="D154" s="1" t="s">
        <v>39</v>
      </c>
      <c r="E154" s="1" t="s">
        <v>75</v>
      </c>
      <c r="F154" s="1" t="s">
        <v>26</v>
      </c>
      <c r="G154" s="6">
        <v>43860</v>
      </c>
      <c r="H154" s="1">
        <v>2015</v>
      </c>
      <c r="I154" t="s">
        <v>27</v>
      </c>
      <c r="J154" s="1">
        <v>78</v>
      </c>
      <c r="K154" s="1" t="s">
        <v>28</v>
      </c>
      <c r="L154" s="1" t="s">
        <v>21</v>
      </c>
      <c r="M154" s="1">
        <v>9.1</v>
      </c>
      <c r="N154" s="1">
        <v>48.37</v>
      </c>
      <c r="O154" s="1">
        <v>67649000</v>
      </c>
      <c r="P154" t="s">
        <v>2281</v>
      </c>
    </row>
    <row r="155" spans="1:16" hidden="1" x14ac:dyDescent="0.3">
      <c r="A155" s="1" t="s">
        <v>431</v>
      </c>
      <c r="B155" s="1" t="s">
        <v>37</v>
      </c>
      <c r="C155" s="1" t="s">
        <v>432</v>
      </c>
      <c r="D155" s="1" t="s">
        <v>49</v>
      </c>
      <c r="E155" s="1" t="s">
        <v>63</v>
      </c>
      <c r="F155" s="1" t="s">
        <v>158</v>
      </c>
      <c r="G155" s="6">
        <v>42624</v>
      </c>
      <c r="H155" s="1">
        <v>2016</v>
      </c>
      <c r="I155" t="s">
        <v>27</v>
      </c>
      <c r="J155" s="1">
        <v>101</v>
      </c>
      <c r="K155" s="1" t="s">
        <v>28</v>
      </c>
      <c r="L155" s="1" t="s">
        <v>46</v>
      </c>
      <c r="M155" s="1">
        <v>6.7</v>
      </c>
      <c r="N155" s="1">
        <v>120.07</v>
      </c>
      <c r="O155" s="1">
        <v>80400000</v>
      </c>
      <c r="P155" t="s">
        <v>2281</v>
      </c>
    </row>
    <row r="156" spans="1:16" x14ac:dyDescent="0.3">
      <c r="A156" s="1" t="s">
        <v>433</v>
      </c>
      <c r="B156" s="1" t="s">
        <v>14</v>
      </c>
      <c r="C156" s="1" t="s">
        <v>434</v>
      </c>
      <c r="D156" s="1" t="s">
        <v>72</v>
      </c>
      <c r="E156" s="1" t="s">
        <v>435</v>
      </c>
      <c r="F156" s="1" t="s">
        <v>26</v>
      </c>
      <c r="G156" s="6">
        <v>43423</v>
      </c>
      <c r="H156" s="1">
        <v>1995</v>
      </c>
      <c r="I156" t="s">
        <v>27</v>
      </c>
      <c r="J156" s="1">
        <v>3</v>
      </c>
      <c r="K156" s="1" t="s">
        <v>20</v>
      </c>
      <c r="L156" s="1" t="s">
        <v>46</v>
      </c>
      <c r="M156" s="1">
        <v>5.3</v>
      </c>
      <c r="N156" s="1">
        <v>145.29</v>
      </c>
      <c r="O156" s="1">
        <v>56770000</v>
      </c>
      <c r="P156" t="s">
        <v>2281</v>
      </c>
    </row>
    <row r="157" spans="1:16" x14ac:dyDescent="0.3">
      <c r="A157" s="1" t="s">
        <v>436</v>
      </c>
      <c r="B157" s="1" t="s">
        <v>14</v>
      </c>
      <c r="C157" s="1" t="s">
        <v>437</v>
      </c>
      <c r="D157" s="1" t="s">
        <v>39</v>
      </c>
      <c r="E157" s="1" t="s">
        <v>63</v>
      </c>
      <c r="F157" s="1" t="s">
        <v>76</v>
      </c>
      <c r="G157" s="6">
        <v>42815</v>
      </c>
      <c r="H157" s="1">
        <v>1993</v>
      </c>
      <c r="I157" t="s">
        <v>55</v>
      </c>
      <c r="J157" s="1">
        <v>7</v>
      </c>
      <c r="K157" s="1" t="s">
        <v>20</v>
      </c>
      <c r="L157" s="1" t="s">
        <v>21</v>
      </c>
      <c r="M157" s="1">
        <v>6</v>
      </c>
      <c r="N157" s="1">
        <v>43.93</v>
      </c>
      <c r="O157" s="1">
        <v>50739000</v>
      </c>
      <c r="P157" t="s">
        <v>2281</v>
      </c>
    </row>
    <row r="158" spans="1:16" hidden="1" x14ac:dyDescent="0.3">
      <c r="A158" s="1" t="s">
        <v>438</v>
      </c>
      <c r="B158" s="1" t="s">
        <v>37</v>
      </c>
      <c r="C158" s="1" t="s">
        <v>439</v>
      </c>
      <c r="D158" s="1" t="s">
        <v>24</v>
      </c>
      <c r="E158" s="1" t="s">
        <v>377</v>
      </c>
      <c r="F158" s="1" t="s">
        <v>45</v>
      </c>
      <c r="G158" s="6">
        <v>42424</v>
      </c>
      <c r="H158" s="1">
        <v>2009</v>
      </c>
      <c r="I158" t="s">
        <v>19</v>
      </c>
      <c r="J158" s="1">
        <v>174</v>
      </c>
      <c r="K158" s="1" t="s">
        <v>28</v>
      </c>
      <c r="L158" s="1" t="s">
        <v>46</v>
      </c>
      <c r="M158" s="1">
        <v>5.7</v>
      </c>
      <c r="N158" s="1">
        <v>63.24</v>
      </c>
      <c r="O158" s="1">
        <v>25497000</v>
      </c>
      <c r="P158" t="s">
        <v>2282</v>
      </c>
    </row>
    <row r="159" spans="1:16" hidden="1" x14ac:dyDescent="0.3">
      <c r="A159" s="1" t="s">
        <v>440</v>
      </c>
      <c r="B159" s="1" t="s">
        <v>37</v>
      </c>
      <c r="C159" s="1" t="s">
        <v>441</v>
      </c>
      <c r="D159" s="1" t="s">
        <v>39</v>
      </c>
      <c r="E159" s="1" t="s">
        <v>72</v>
      </c>
      <c r="F159" s="1" t="s">
        <v>59</v>
      </c>
      <c r="G159" s="6">
        <v>43932</v>
      </c>
      <c r="H159" s="1">
        <v>2016</v>
      </c>
      <c r="I159" t="s">
        <v>89</v>
      </c>
      <c r="J159" s="1">
        <v>138</v>
      </c>
      <c r="K159" s="1" t="s">
        <v>28</v>
      </c>
      <c r="L159" s="1" t="s">
        <v>35</v>
      </c>
      <c r="M159" s="1">
        <v>5.7</v>
      </c>
      <c r="N159" s="1">
        <v>125.77</v>
      </c>
      <c r="O159" s="1">
        <v>24341000</v>
      </c>
      <c r="P159" t="s">
        <v>2282</v>
      </c>
    </row>
    <row r="160" spans="1:16" x14ac:dyDescent="0.3">
      <c r="A160" s="1" t="s">
        <v>442</v>
      </c>
      <c r="B160" s="1" t="s">
        <v>14</v>
      </c>
      <c r="C160" s="1" t="s">
        <v>443</v>
      </c>
      <c r="D160" s="1" t="s">
        <v>49</v>
      </c>
      <c r="E160" s="1" t="s">
        <v>72</v>
      </c>
      <c r="F160" s="1" t="s">
        <v>158</v>
      </c>
      <c r="G160" s="6">
        <v>44001</v>
      </c>
      <c r="H160" s="1">
        <v>2013</v>
      </c>
      <c r="I160" t="s">
        <v>55</v>
      </c>
      <c r="J160" s="1">
        <v>4</v>
      </c>
      <c r="K160" s="1" t="s">
        <v>20</v>
      </c>
      <c r="L160" s="1" t="s">
        <v>35</v>
      </c>
      <c r="M160" s="1">
        <v>7.4</v>
      </c>
      <c r="N160" s="1">
        <v>142.37</v>
      </c>
      <c r="O160" s="1">
        <v>78527000</v>
      </c>
      <c r="P160" t="s">
        <v>2281</v>
      </c>
    </row>
    <row r="161" spans="1:16" x14ac:dyDescent="0.3">
      <c r="A161" s="1" t="s">
        <v>444</v>
      </c>
      <c r="B161" s="1" t="s">
        <v>14</v>
      </c>
      <c r="C161" s="1" t="s">
        <v>445</v>
      </c>
      <c r="D161" s="1" t="s">
        <v>62</v>
      </c>
      <c r="E161" s="1" t="s">
        <v>111</v>
      </c>
      <c r="F161" s="1" t="s">
        <v>45</v>
      </c>
      <c r="G161" s="6">
        <v>44645</v>
      </c>
      <c r="H161" s="1">
        <v>2012</v>
      </c>
      <c r="I161" t="s">
        <v>27</v>
      </c>
      <c r="J161" s="1">
        <v>3</v>
      </c>
      <c r="K161" s="1" t="s">
        <v>20</v>
      </c>
      <c r="L161" s="1" t="s">
        <v>35</v>
      </c>
      <c r="M161" s="1">
        <v>8.9</v>
      </c>
      <c r="N161" s="1">
        <v>8.19</v>
      </c>
      <c r="O161" s="1">
        <v>65752000</v>
      </c>
      <c r="P161" t="s">
        <v>2282</v>
      </c>
    </row>
    <row r="162" spans="1:16" x14ac:dyDescent="0.3">
      <c r="A162" s="1" t="s">
        <v>446</v>
      </c>
      <c r="B162" s="1" t="s">
        <v>14</v>
      </c>
      <c r="C162" s="1" t="s">
        <v>447</v>
      </c>
      <c r="D162" s="1" t="s">
        <v>39</v>
      </c>
      <c r="E162" s="1" t="s">
        <v>40</v>
      </c>
      <c r="F162" s="1" t="s">
        <v>18</v>
      </c>
      <c r="G162" s="6">
        <v>43966</v>
      </c>
      <c r="H162" s="1">
        <v>1995</v>
      </c>
      <c r="I162" t="s">
        <v>34</v>
      </c>
      <c r="J162" s="1">
        <v>1</v>
      </c>
      <c r="K162" s="1" t="s">
        <v>20</v>
      </c>
      <c r="L162" s="1" t="s">
        <v>46</v>
      </c>
      <c r="M162" s="1">
        <v>9.1999999999999993</v>
      </c>
      <c r="N162" s="1">
        <v>83.25</v>
      </c>
      <c r="O162" s="1">
        <v>84359000</v>
      </c>
      <c r="P162" t="s">
        <v>2281</v>
      </c>
    </row>
    <row r="163" spans="1:16" x14ac:dyDescent="0.3">
      <c r="A163" s="1" t="s">
        <v>448</v>
      </c>
      <c r="B163" s="1" t="s">
        <v>14</v>
      </c>
      <c r="C163" s="1" t="s">
        <v>449</v>
      </c>
      <c r="D163" s="1" t="s">
        <v>39</v>
      </c>
      <c r="E163" s="1" t="s">
        <v>450</v>
      </c>
      <c r="F163" s="1" t="s">
        <v>18</v>
      </c>
      <c r="G163" s="6">
        <v>43157</v>
      </c>
      <c r="H163" s="1">
        <v>2002</v>
      </c>
      <c r="I163" t="s">
        <v>55</v>
      </c>
      <c r="J163" s="1">
        <v>8</v>
      </c>
      <c r="K163" s="1" t="s">
        <v>20</v>
      </c>
      <c r="L163" s="1" t="s">
        <v>21</v>
      </c>
      <c r="M163" s="1">
        <v>7.7</v>
      </c>
      <c r="N163" s="1">
        <v>33.83</v>
      </c>
      <c r="O163" s="1">
        <v>96667000</v>
      </c>
      <c r="P163" t="s">
        <v>2282</v>
      </c>
    </row>
    <row r="164" spans="1:16" hidden="1" x14ac:dyDescent="0.3">
      <c r="A164" s="1" t="s">
        <v>451</v>
      </c>
      <c r="B164" s="1" t="s">
        <v>37</v>
      </c>
      <c r="C164" s="1" t="s">
        <v>452</v>
      </c>
      <c r="D164" s="1" t="s">
        <v>24</v>
      </c>
      <c r="E164" s="1" t="s">
        <v>40</v>
      </c>
      <c r="F164" s="1" t="s">
        <v>59</v>
      </c>
      <c r="G164" s="6">
        <v>44447</v>
      </c>
      <c r="H164" s="1">
        <v>1997</v>
      </c>
      <c r="I164" t="s">
        <v>19</v>
      </c>
      <c r="J164" s="1">
        <v>79</v>
      </c>
      <c r="K164" s="1" t="s">
        <v>28</v>
      </c>
      <c r="L164" s="1" t="s">
        <v>69</v>
      </c>
      <c r="M164" s="1">
        <v>1.4</v>
      </c>
      <c r="N164" s="1">
        <v>2.3199999999999998</v>
      </c>
      <c r="O164" s="1">
        <v>6961000</v>
      </c>
      <c r="P164" t="s">
        <v>2281</v>
      </c>
    </row>
    <row r="165" spans="1:16" hidden="1" x14ac:dyDescent="0.3">
      <c r="A165" s="1" t="s">
        <v>453</v>
      </c>
      <c r="B165" s="1" t="s">
        <v>37</v>
      </c>
      <c r="C165" s="1" t="s">
        <v>454</v>
      </c>
      <c r="D165" s="1" t="s">
        <v>72</v>
      </c>
      <c r="E165" s="1" t="s">
        <v>44</v>
      </c>
      <c r="F165" s="1" t="s">
        <v>45</v>
      </c>
      <c r="G165" s="6">
        <v>44151</v>
      </c>
      <c r="H165" s="1">
        <v>2015</v>
      </c>
      <c r="I165" t="s">
        <v>34</v>
      </c>
      <c r="J165" s="1">
        <v>156</v>
      </c>
      <c r="K165" s="1" t="s">
        <v>28</v>
      </c>
      <c r="L165" s="1" t="s">
        <v>52</v>
      </c>
      <c r="M165" s="1">
        <v>999</v>
      </c>
      <c r="N165" s="1">
        <v>68.569999999999993</v>
      </c>
      <c r="O165" s="1">
        <v>29338000</v>
      </c>
      <c r="P165" t="s">
        <v>2282</v>
      </c>
    </row>
    <row r="166" spans="1:16" x14ac:dyDescent="0.3">
      <c r="A166" s="1" t="s">
        <v>455</v>
      </c>
      <c r="B166" s="1" t="s">
        <v>14</v>
      </c>
      <c r="C166" s="1" t="s">
        <v>456</v>
      </c>
      <c r="D166" s="1" t="s">
        <v>39</v>
      </c>
      <c r="E166" s="1" t="s">
        <v>153</v>
      </c>
      <c r="F166" s="1" t="s">
        <v>26</v>
      </c>
      <c r="G166" s="6">
        <v>45132</v>
      </c>
      <c r="H166" s="1">
        <v>2016</v>
      </c>
      <c r="I166" t="s">
        <v>55</v>
      </c>
      <c r="J166" s="1">
        <v>4</v>
      </c>
      <c r="K166" s="1" t="s">
        <v>20</v>
      </c>
      <c r="L166" s="1" t="s">
        <v>35</v>
      </c>
      <c r="M166" s="1">
        <v>9.3000000000000007</v>
      </c>
      <c r="N166" s="1">
        <v>35.729999999999997</v>
      </c>
      <c r="O166" s="1">
        <v>60528000</v>
      </c>
      <c r="P166" t="s">
        <v>2281</v>
      </c>
    </row>
    <row r="167" spans="1:16" x14ac:dyDescent="0.3">
      <c r="A167" s="1" t="s">
        <v>457</v>
      </c>
      <c r="B167" s="1" t="s">
        <v>14</v>
      </c>
      <c r="C167" s="1" t="s">
        <v>458</v>
      </c>
      <c r="D167" s="1" t="s">
        <v>39</v>
      </c>
      <c r="E167" s="1" t="s">
        <v>58</v>
      </c>
      <c r="F167" s="1" t="s">
        <v>59</v>
      </c>
      <c r="G167" s="6">
        <v>42374</v>
      </c>
      <c r="H167" s="1">
        <v>1992</v>
      </c>
      <c r="I167" t="s">
        <v>55</v>
      </c>
      <c r="J167" s="1">
        <v>2</v>
      </c>
      <c r="K167" s="1" t="s">
        <v>20</v>
      </c>
      <c r="L167" s="1" t="s">
        <v>35</v>
      </c>
      <c r="M167" s="1">
        <v>3.9</v>
      </c>
      <c r="N167" s="1">
        <v>15.93</v>
      </c>
      <c r="O167" s="1">
        <v>1183000</v>
      </c>
      <c r="P167" t="s">
        <v>2282</v>
      </c>
    </row>
    <row r="168" spans="1:16" x14ac:dyDescent="0.3">
      <c r="A168" s="1" t="s">
        <v>459</v>
      </c>
      <c r="B168" s="1" t="s">
        <v>14</v>
      </c>
      <c r="C168" s="1" t="s">
        <v>460</v>
      </c>
      <c r="D168" s="1" t="s">
        <v>31</v>
      </c>
      <c r="E168" s="1" t="s">
        <v>111</v>
      </c>
      <c r="F168" s="1" t="s">
        <v>59</v>
      </c>
      <c r="G168" s="6">
        <v>42835</v>
      </c>
      <c r="H168" s="1">
        <v>2019</v>
      </c>
      <c r="I168" t="s">
        <v>55</v>
      </c>
      <c r="J168" s="1">
        <v>2</v>
      </c>
      <c r="K168" s="1" t="s">
        <v>20</v>
      </c>
      <c r="L168" s="1" t="s">
        <v>46</v>
      </c>
      <c r="M168" s="1">
        <v>4.9000000000000004</v>
      </c>
      <c r="N168" s="1">
        <v>127.93</v>
      </c>
      <c r="O168" s="1">
        <v>46139000</v>
      </c>
      <c r="P168" t="s">
        <v>2281</v>
      </c>
    </row>
    <row r="169" spans="1:16" hidden="1" x14ac:dyDescent="0.3">
      <c r="A169" s="1" t="s">
        <v>461</v>
      </c>
      <c r="B169" s="1" t="s">
        <v>37</v>
      </c>
      <c r="C169" s="1" t="s">
        <v>462</v>
      </c>
      <c r="D169" s="1" t="s">
        <v>16</v>
      </c>
      <c r="E169" s="1" t="s">
        <v>83</v>
      </c>
      <c r="F169" s="1" t="s">
        <v>18</v>
      </c>
      <c r="G169" s="6">
        <v>43517</v>
      </c>
      <c r="H169" s="1">
        <v>2020</v>
      </c>
      <c r="I169" t="s">
        <v>55</v>
      </c>
      <c r="J169" s="1">
        <v>101</v>
      </c>
      <c r="K169" s="1" t="s">
        <v>28</v>
      </c>
      <c r="L169" s="1" t="s">
        <v>46</v>
      </c>
      <c r="M169" s="1">
        <v>8</v>
      </c>
      <c r="N169" s="1">
        <v>54.46</v>
      </c>
      <c r="O169" s="1">
        <v>38375000</v>
      </c>
      <c r="P169" t="s">
        <v>2281</v>
      </c>
    </row>
    <row r="170" spans="1:16" hidden="1" x14ac:dyDescent="0.3">
      <c r="A170" s="1" t="s">
        <v>463</v>
      </c>
      <c r="B170" s="1" t="s">
        <v>37</v>
      </c>
      <c r="C170" s="1" t="s">
        <v>464</v>
      </c>
      <c r="D170" s="1" t="s">
        <v>31</v>
      </c>
      <c r="E170" s="1" t="s">
        <v>25</v>
      </c>
      <c r="F170" s="1" t="s">
        <v>76</v>
      </c>
      <c r="G170" s="6">
        <v>43405</v>
      </c>
      <c r="H170" s="1">
        <v>2006</v>
      </c>
      <c r="I170" t="s">
        <v>27</v>
      </c>
      <c r="J170" s="1">
        <v>89</v>
      </c>
      <c r="K170" s="1" t="s">
        <v>28</v>
      </c>
      <c r="L170" s="1" t="s">
        <v>69</v>
      </c>
      <c r="M170" s="1">
        <v>6.9</v>
      </c>
      <c r="N170" s="1">
        <v>16.260000000000002</v>
      </c>
      <c r="O170" s="1">
        <v>66366000</v>
      </c>
      <c r="P170" t="s">
        <v>2282</v>
      </c>
    </row>
    <row r="171" spans="1:16" x14ac:dyDescent="0.3">
      <c r="A171" s="1" t="s">
        <v>465</v>
      </c>
      <c r="B171" s="1" t="s">
        <v>14</v>
      </c>
      <c r="C171" s="1" t="s">
        <v>466</v>
      </c>
      <c r="D171" s="1" t="s">
        <v>72</v>
      </c>
      <c r="E171" s="1" t="s">
        <v>123</v>
      </c>
      <c r="F171" s="1" t="s">
        <v>51</v>
      </c>
      <c r="G171" s="6">
        <v>42005</v>
      </c>
      <c r="H171" s="1">
        <v>1991</v>
      </c>
      <c r="I171" t="s">
        <v>89</v>
      </c>
      <c r="J171" s="1">
        <v>1</v>
      </c>
      <c r="K171" s="1" t="s">
        <v>20</v>
      </c>
      <c r="L171" s="1" t="s">
        <v>69</v>
      </c>
      <c r="M171" s="1">
        <v>2.5</v>
      </c>
      <c r="N171" s="1">
        <v>25.74</v>
      </c>
      <c r="O171" s="1">
        <v>72507000</v>
      </c>
      <c r="P171" t="s">
        <v>2282</v>
      </c>
    </row>
    <row r="172" spans="1:16" x14ac:dyDescent="0.3">
      <c r="A172" s="1" t="s">
        <v>467</v>
      </c>
      <c r="B172" s="1" t="s">
        <v>14</v>
      </c>
      <c r="C172" s="1" t="s">
        <v>468</v>
      </c>
      <c r="D172" s="1" t="s">
        <v>49</v>
      </c>
      <c r="E172" s="1" t="s">
        <v>75</v>
      </c>
      <c r="F172" s="1" t="s">
        <v>76</v>
      </c>
      <c r="G172" s="6">
        <v>42931</v>
      </c>
      <c r="H172" s="1">
        <v>1993</v>
      </c>
      <c r="I172" t="s">
        <v>34</v>
      </c>
      <c r="J172" s="1">
        <v>10</v>
      </c>
      <c r="K172" s="1" t="s">
        <v>20</v>
      </c>
      <c r="L172" s="1" t="s">
        <v>69</v>
      </c>
      <c r="M172" s="1">
        <v>2.5</v>
      </c>
      <c r="N172" s="1">
        <v>55.9</v>
      </c>
      <c r="O172" s="1">
        <v>3945000</v>
      </c>
      <c r="P172" t="s">
        <v>2282</v>
      </c>
    </row>
    <row r="173" spans="1:16" x14ac:dyDescent="0.3">
      <c r="A173" s="1" t="s">
        <v>469</v>
      </c>
      <c r="B173" s="1" t="s">
        <v>14</v>
      </c>
      <c r="C173" s="1" t="s">
        <v>470</v>
      </c>
      <c r="D173" s="1" t="s">
        <v>24</v>
      </c>
      <c r="E173" s="1" t="s">
        <v>216</v>
      </c>
      <c r="F173" s="1" t="s">
        <v>51</v>
      </c>
      <c r="G173" s="6">
        <v>44303</v>
      </c>
      <c r="H173" s="1">
        <v>2015</v>
      </c>
      <c r="I173" t="s">
        <v>77</v>
      </c>
      <c r="J173" s="1">
        <v>3</v>
      </c>
      <c r="K173" s="1" t="s">
        <v>20</v>
      </c>
      <c r="L173" s="1" t="s">
        <v>69</v>
      </c>
      <c r="M173" s="1">
        <v>8.6999999999999993</v>
      </c>
      <c r="N173" s="1">
        <v>95.14</v>
      </c>
      <c r="O173" s="1">
        <v>28904000</v>
      </c>
      <c r="P173" t="s">
        <v>2282</v>
      </c>
    </row>
    <row r="174" spans="1:16" x14ac:dyDescent="0.3">
      <c r="A174" s="1" t="s">
        <v>471</v>
      </c>
      <c r="B174" s="1" t="s">
        <v>14</v>
      </c>
      <c r="C174" s="1" t="s">
        <v>472</v>
      </c>
      <c r="D174" s="1" t="s">
        <v>39</v>
      </c>
      <c r="E174" s="1" t="s">
        <v>111</v>
      </c>
      <c r="F174" s="1" t="s">
        <v>76</v>
      </c>
      <c r="G174" s="6">
        <v>42507</v>
      </c>
      <c r="H174" s="1">
        <v>1994</v>
      </c>
      <c r="I174" t="s">
        <v>89</v>
      </c>
      <c r="J174" s="1">
        <v>9</v>
      </c>
      <c r="K174" s="1" t="s">
        <v>20</v>
      </c>
      <c r="L174" s="1" t="s">
        <v>41</v>
      </c>
      <c r="M174" s="1">
        <v>1.9</v>
      </c>
      <c r="N174" s="1">
        <v>101.25</v>
      </c>
      <c r="O174" s="1">
        <v>93478000</v>
      </c>
      <c r="P174" t="s">
        <v>2281</v>
      </c>
    </row>
    <row r="175" spans="1:16" x14ac:dyDescent="0.3">
      <c r="A175" s="1" t="s">
        <v>473</v>
      </c>
      <c r="B175" s="1" t="s">
        <v>14</v>
      </c>
      <c r="C175" s="1" t="s">
        <v>474</v>
      </c>
      <c r="D175" s="1" t="s">
        <v>31</v>
      </c>
      <c r="E175" s="1" t="s">
        <v>141</v>
      </c>
      <c r="F175" s="1" t="s">
        <v>76</v>
      </c>
      <c r="G175" s="6">
        <v>45073</v>
      </c>
      <c r="H175" s="1">
        <v>2019</v>
      </c>
      <c r="I175" t="s">
        <v>77</v>
      </c>
      <c r="J175" s="1">
        <v>8</v>
      </c>
      <c r="K175" s="1" t="s">
        <v>20</v>
      </c>
      <c r="L175" s="1" t="s">
        <v>21</v>
      </c>
      <c r="M175" s="1">
        <v>9.4</v>
      </c>
      <c r="N175" s="1">
        <v>89.44</v>
      </c>
      <c r="O175" s="1">
        <v>59768000</v>
      </c>
      <c r="P175" t="s">
        <v>2282</v>
      </c>
    </row>
    <row r="176" spans="1:16" x14ac:dyDescent="0.3">
      <c r="A176" s="1" t="s">
        <v>475</v>
      </c>
      <c r="B176" s="1" t="s">
        <v>14</v>
      </c>
      <c r="C176" s="1" t="s">
        <v>476</v>
      </c>
      <c r="D176" s="1" t="s">
        <v>16</v>
      </c>
      <c r="E176" s="1" t="s">
        <v>357</v>
      </c>
      <c r="F176" s="1" t="s">
        <v>51</v>
      </c>
      <c r="G176" s="6">
        <v>42491</v>
      </c>
      <c r="H176" s="1">
        <v>1994</v>
      </c>
      <c r="I176" t="s">
        <v>55</v>
      </c>
      <c r="J176" s="1">
        <v>2</v>
      </c>
      <c r="K176" s="1" t="s">
        <v>20</v>
      </c>
      <c r="L176" s="1" t="s">
        <v>35</v>
      </c>
      <c r="M176" s="1">
        <v>9</v>
      </c>
      <c r="N176" s="1">
        <v>32.72</v>
      </c>
      <c r="O176" s="1">
        <v>98914000</v>
      </c>
      <c r="P176" t="s">
        <v>2282</v>
      </c>
    </row>
    <row r="177" spans="1:16" x14ac:dyDescent="0.3">
      <c r="A177" s="1" t="s">
        <v>477</v>
      </c>
      <c r="B177" s="1" t="s">
        <v>14</v>
      </c>
      <c r="C177" s="1" t="s">
        <v>478</v>
      </c>
      <c r="D177" s="1" t="s">
        <v>31</v>
      </c>
      <c r="E177" s="1" t="s">
        <v>479</v>
      </c>
      <c r="F177" s="1" t="s">
        <v>59</v>
      </c>
      <c r="G177" s="6">
        <v>45022</v>
      </c>
      <c r="H177" s="1">
        <v>2010</v>
      </c>
      <c r="I177" t="s">
        <v>34</v>
      </c>
      <c r="J177" s="1">
        <v>2</v>
      </c>
      <c r="K177" s="1" t="s">
        <v>20</v>
      </c>
      <c r="L177" s="1" t="s">
        <v>46</v>
      </c>
      <c r="M177" s="1">
        <v>5.8</v>
      </c>
      <c r="N177" s="1">
        <v>25.17</v>
      </c>
      <c r="O177" s="1">
        <v>8548000</v>
      </c>
      <c r="P177" t="s">
        <v>2281</v>
      </c>
    </row>
    <row r="178" spans="1:16" hidden="1" x14ac:dyDescent="0.3">
      <c r="A178" s="1" t="s">
        <v>480</v>
      </c>
      <c r="B178" s="1" t="s">
        <v>37</v>
      </c>
      <c r="C178" s="1" t="s">
        <v>481</v>
      </c>
      <c r="D178" s="1" t="s">
        <v>24</v>
      </c>
      <c r="E178" s="1" t="s">
        <v>138</v>
      </c>
      <c r="F178" s="1" t="s">
        <v>26</v>
      </c>
      <c r="G178" s="6">
        <v>42042</v>
      </c>
      <c r="H178" s="1">
        <v>1998</v>
      </c>
      <c r="I178" t="s">
        <v>55</v>
      </c>
      <c r="J178" s="1">
        <v>73</v>
      </c>
      <c r="K178" s="1" t="s">
        <v>28</v>
      </c>
      <c r="L178" s="1" t="s">
        <v>69</v>
      </c>
      <c r="M178" s="1">
        <v>6.6</v>
      </c>
      <c r="N178" s="1">
        <v>147.99</v>
      </c>
      <c r="O178" s="1">
        <v>68946000</v>
      </c>
      <c r="P178" t="s">
        <v>2281</v>
      </c>
    </row>
    <row r="179" spans="1:16" x14ac:dyDescent="0.3">
      <c r="A179" s="1" t="s">
        <v>482</v>
      </c>
      <c r="B179" s="1" t="s">
        <v>14</v>
      </c>
      <c r="C179" s="1" t="s">
        <v>483</v>
      </c>
      <c r="D179" s="1" t="s">
        <v>31</v>
      </c>
      <c r="E179" s="1" t="s">
        <v>484</v>
      </c>
      <c r="F179" s="1" t="s">
        <v>51</v>
      </c>
      <c r="G179" s="6">
        <v>42291</v>
      </c>
      <c r="H179" s="1">
        <v>2004</v>
      </c>
      <c r="I179" t="s">
        <v>27</v>
      </c>
      <c r="J179" s="1">
        <v>1</v>
      </c>
      <c r="K179" s="1" t="s">
        <v>20</v>
      </c>
      <c r="L179" s="1" t="s">
        <v>52</v>
      </c>
      <c r="M179" s="1">
        <v>3.4</v>
      </c>
      <c r="N179" s="1">
        <v>82.68</v>
      </c>
      <c r="O179" s="1">
        <v>85758000</v>
      </c>
      <c r="P179" t="s">
        <v>2282</v>
      </c>
    </row>
    <row r="180" spans="1:16" x14ac:dyDescent="0.3">
      <c r="A180" s="1" t="s">
        <v>485</v>
      </c>
      <c r="B180" s="1" t="s">
        <v>14</v>
      </c>
      <c r="C180" s="1" t="s">
        <v>486</v>
      </c>
      <c r="D180" s="1" t="s">
        <v>49</v>
      </c>
      <c r="E180" s="1" t="s">
        <v>50</v>
      </c>
      <c r="F180" s="1" t="s">
        <v>51</v>
      </c>
      <c r="G180" s="6">
        <v>43068</v>
      </c>
      <c r="H180" s="1">
        <v>2017</v>
      </c>
      <c r="I180" t="s">
        <v>89</v>
      </c>
      <c r="J180" s="1">
        <v>4</v>
      </c>
      <c r="K180" s="1" t="s">
        <v>20</v>
      </c>
      <c r="L180" s="1" t="s">
        <v>41</v>
      </c>
      <c r="M180" s="1">
        <v>9.3000000000000007</v>
      </c>
      <c r="N180" s="1">
        <v>15.99</v>
      </c>
      <c r="O180" s="1">
        <v>3207000</v>
      </c>
      <c r="P180" t="s">
        <v>2282</v>
      </c>
    </row>
    <row r="181" spans="1:16" hidden="1" x14ac:dyDescent="0.3">
      <c r="A181" s="1" t="s">
        <v>487</v>
      </c>
      <c r="B181" s="1" t="s">
        <v>37</v>
      </c>
      <c r="C181" s="1" t="s">
        <v>488</v>
      </c>
      <c r="D181" s="1" t="s">
        <v>24</v>
      </c>
      <c r="E181" s="1" t="s">
        <v>414</v>
      </c>
      <c r="F181" s="1" t="s">
        <v>18</v>
      </c>
      <c r="G181" s="6">
        <v>44040</v>
      </c>
      <c r="H181" s="1">
        <v>1990</v>
      </c>
      <c r="I181" t="s">
        <v>89</v>
      </c>
      <c r="J181" s="1">
        <v>88</v>
      </c>
      <c r="K181" s="1" t="s">
        <v>28</v>
      </c>
      <c r="L181" s="1" t="s">
        <v>69</v>
      </c>
      <c r="M181" s="1">
        <v>9.9</v>
      </c>
      <c r="N181" s="1">
        <v>56.79</v>
      </c>
      <c r="O181" s="1">
        <v>19345000</v>
      </c>
      <c r="P181" t="s">
        <v>2282</v>
      </c>
    </row>
    <row r="182" spans="1:16" x14ac:dyDescent="0.3">
      <c r="A182" s="1" t="s">
        <v>489</v>
      </c>
      <c r="B182" s="1" t="s">
        <v>14</v>
      </c>
      <c r="C182" s="1" t="s">
        <v>490</v>
      </c>
      <c r="D182" s="1" t="s">
        <v>49</v>
      </c>
      <c r="E182" s="1" t="s">
        <v>75</v>
      </c>
      <c r="F182" s="1" t="s">
        <v>59</v>
      </c>
      <c r="G182" s="6">
        <v>45176</v>
      </c>
      <c r="H182" s="1">
        <v>2013</v>
      </c>
      <c r="I182" t="s">
        <v>89</v>
      </c>
      <c r="J182" s="1">
        <v>6</v>
      </c>
      <c r="K182" s="1" t="s">
        <v>20</v>
      </c>
      <c r="L182" s="1" t="s">
        <v>21</v>
      </c>
      <c r="M182" s="1">
        <v>7.4</v>
      </c>
      <c r="N182" s="1">
        <v>98.33</v>
      </c>
      <c r="O182" s="1">
        <v>82255000</v>
      </c>
      <c r="P182" t="s">
        <v>2281</v>
      </c>
    </row>
    <row r="183" spans="1:16" hidden="1" x14ac:dyDescent="0.3">
      <c r="A183" s="1" t="s">
        <v>491</v>
      </c>
      <c r="B183" s="1" t="s">
        <v>37</v>
      </c>
      <c r="C183" s="1" t="s">
        <v>492</v>
      </c>
      <c r="D183" s="1" t="s">
        <v>16</v>
      </c>
      <c r="E183" s="1" t="s">
        <v>75</v>
      </c>
      <c r="F183" s="1" t="s">
        <v>76</v>
      </c>
      <c r="G183" s="6">
        <v>43083</v>
      </c>
      <c r="H183" s="1">
        <v>2023</v>
      </c>
      <c r="I183" t="s">
        <v>27</v>
      </c>
      <c r="J183" s="1">
        <v>165</v>
      </c>
      <c r="K183" s="1" t="s">
        <v>28</v>
      </c>
      <c r="L183" s="1" t="s">
        <v>21</v>
      </c>
      <c r="M183" s="1">
        <v>6.3</v>
      </c>
      <c r="N183" s="1">
        <v>26.73</v>
      </c>
      <c r="O183" s="1">
        <v>30377000</v>
      </c>
      <c r="P183" t="s">
        <v>2281</v>
      </c>
    </row>
    <row r="184" spans="1:16" hidden="1" x14ac:dyDescent="0.3">
      <c r="A184" s="1" t="s">
        <v>493</v>
      </c>
      <c r="B184" s="1" t="s">
        <v>37</v>
      </c>
      <c r="C184" s="1" t="s">
        <v>494</v>
      </c>
      <c r="D184" s="1" t="s">
        <v>49</v>
      </c>
      <c r="E184" s="1" t="s">
        <v>222</v>
      </c>
      <c r="F184" s="1" t="s">
        <v>45</v>
      </c>
      <c r="G184" s="6">
        <v>42520</v>
      </c>
      <c r="H184" s="1">
        <v>2018</v>
      </c>
      <c r="I184" t="s">
        <v>27</v>
      </c>
      <c r="J184" s="1">
        <v>84</v>
      </c>
      <c r="K184" s="1" t="s">
        <v>28</v>
      </c>
      <c r="L184" s="1" t="s">
        <v>69</v>
      </c>
      <c r="M184" s="1">
        <v>5.9</v>
      </c>
      <c r="N184" s="1">
        <v>47.41</v>
      </c>
      <c r="O184" s="1">
        <v>82875000</v>
      </c>
      <c r="P184" t="s">
        <v>2282</v>
      </c>
    </row>
    <row r="185" spans="1:16" hidden="1" x14ac:dyDescent="0.3">
      <c r="A185" s="1" t="s">
        <v>495</v>
      </c>
      <c r="B185" s="1" t="s">
        <v>37</v>
      </c>
      <c r="C185" s="1" t="s">
        <v>496</v>
      </c>
      <c r="D185" s="1" t="s">
        <v>16</v>
      </c>
      <c r="E185" s="1" t="s">
        <v>50</v>
      </c>
      <c r="F185" s="1" t="s">
        <v>51</v>
      </c>
      <c r="G185" s="6">
        <v>42446</v>
      </c>
      <c r="H185" s="1">
        <v>2014</v>
      </c>
      <c r="I185" t="s">
        <v>89</v>
      </c>
      <c r="J185" s="1">
        <v>171</v>
      </c>
      <c r="K185" s="1" t="s">
        <v>28</v>
      </c>
      <c r="L185" s="1" t="s">
        <v>35</v>
      </c>
      <c r="M185" s="1">
        <v>4.5999999999999996</v>
      </c>
      <c r="N185" s="1">
        <v>128.29</v>
      </c>
      <c r="O185" s="1">
        <v>67529000</v>
      </c>
      <c r="P185" t="s">
        <v>2282</v>
      </c>
    </row>
    <row r="186" spans="1:16" hidden="1" x14ac:dyDescent="0.3">
      <c r="A186" s="1" t="s">
        <v>497</v>
      </c>
      <c r="B186" s="1" t="s">
        <v>37</v>
      </c>
      <c r="C186" s="1" t="s">
        <v>498</v>
      </c>
      <c r="D186" s="1" t="s">
        <v>39</v>
      </c>
      <c r="E186" s="1" t="s">
        <v>344</v>
      </c>
      <c r="F186" s="1" t="s">
        <v>51</v>
      </c>
      <c r="G186" s="6">
        <v>45088</v>
      </c>
      <c r="H186" s="1">
        <v>2014</v>
      </c>
      <c r="I186" t="s">
        <v>77</v>
      </c>
      <c r="J186" s="1">
        <v>122</v>
      </c>
      <c r="K186" s="1" t="s">
        <v>28</v>
      </c>
      <c r="L186" s="1" t="s">
        <v>35</v>
      </c>
      <c r="M186" s="1">
        <v>3.8</v>
      </c>
      <c r="N186" s="1">
        <v>3.07</v>
      </c>
      <c r="O186" s="1">
        <v>84627000</v>
      </c>
      <c r="P186" t="s">
        <v>2281</v>
      </c>
    </row>
    <row r="187" spans="1:16" hidden="1" x14ac:dyDescent="0.3">
      <c r="A187" s="1" t="s">
        <v>499</v>
      </c>
      <c r="B187" s="1" t="s">
        <v>37</v>
      </c>
      <c r="C187" s="1" t="s">
        <v>500</v>
      </c>
      <c r="D187" s="1" t="s">
        <v>39</v>
      </c>
      <c r="E187" s="1" t="s">
        <v>117</v>
      </c>
      <c r="F187" s="1" t="s">
        <v>158</v>
      </c>
      <c r="G187" s="6">
        <v>42542</v>
      </c>
      <c r="H187" s="1">
        <v>2016</v>
      </c>
      <c r="I187" t="s">
        <v>19</v>
      </c>
      <c r="J187" s="1">
        <v>85</v>
      </c>
      <c r="K187" s="1" t="s">
        <v>28</v>
      </c>
      <c r="L187" s="1" t="s">
        <v>46</v>
      </c>
      <c r="M187" s="1">
        <v>1.5</v>
      </c>
      <c r="N187" s="1">
        <v>88.28</v>
      </c>
      <c r="O187" s="1">
        <v>60641000</v>
      </c>
      <c r="P187" t="s">
        <v>2281</v>
      </c>
    </row>
    <row r="188" spans="1:16" hidden="1" x14ac:dyDescent="0.3">
      <c r="A188" s="1" t="s">
        <v>501</v>
      </c>
      <c r="B188" s="1" t="s">
        <v>37</v>
      </c>
      <c r="C188" s="1" t="s">
        <v>502</v>
      </c>
      <c r="D188" s="1" t="s">
        <v>39</v>
      </c>
      <c r="E188" s="1" t="s">
        <v>141</v>
      </c>
      <c r="F188" s="1" t="s">
        <v>59</v>
      </c>
      <c r="G188" s="6">
        <v>44955</v>
      </c>
      <c r="H188" s="1">
        <v>1995</v>
      </c>
      <c r="I188" t="s">
        <v>77</v>
      </c>
      <c r="J188" s="1">
        <v>150</v>
      </c>
      <c r="K188" s="1" t="s">
        <v>28</v>
      </c>
      <c r="L188" s="1" t="s">
        <v>46</v>
      </c>
      <c r="M188" s="1">
        <v>6.5</v>
      </c>
      <c r="N188" s="1">
        <v>93.83</v>
      </c>
      <c r="O188" s="1">
        <v>94471000</v>
      </c>
      <c r="P188" t="s">
        <v>2282</v>
      </c>
    </row>
    <row r="189" spans="1:16" x14ac:dyDescent="0.3">
      <c r="A189" s="1" t="s">
        <v>503</v>
      </c>
      <c r="B189" s="1" t="s">
        <v>14</v>
      </c>
      <c r="C189" s="1" t="s">
        <v>504</v>
      </c>
      <c r="D189" s="1" t="s">
        <v>31</v>
      </c>
      <c r="E189" s="1" t="s">
        <v>372</v>
      </c>
      <c r="F189" s="1" t="s">
        <v>18</v>
      </c>
      <c r="G189" s="6">
        <v>44565</v>
      </c>
      <c r="H189" s="1">
        <v>2010</v>
      </c>
      <c r="I189" t="s">
        <v>19</v>
      </c>
      <c r="J189" s="1">
        <v>2</v>
      </c>
      <c r="K189" s="1" t="s">
        <v>20</v>
      </c>
      <c r="L189" s="1" t="s">
        <v>41</v>
      </c>
      <c r="M189" s="1">
        <v>5.5</v>
      </c>
      <c r="N189" s="1">
        <v>55.64</v>
      </c>
      <c r="O189" s="1">
        <v>79904000</v>
      </c>
      <c r="P189" t="s">
        <v>2281</v>
      </c>
    </row>
    <row r="190" spans="1:16" x14ac:dyDescent="0.3">
      <c r="A190" s="1" t="s">
        <v>505</v>
      </c>
      <c r="B190" s="1" t="s">
        <v>14</v>
      </c>
      <c r="C190" s="1" t="s">
        <v>506</v>
      </c>
      <c r="D190" s="1" t="s">
        <v>16</v>
      </c>
      <c r="E190" s="1" t="s">
        <v>153</v>
      </c>
      <c r="F190" s="1" t="s">
        <v>59</v>
      </c>
      <c r="G190" s="6">
        <v>43340</v>
      </c>
      <c r="H190" s="1">
        <v>2007</v>
      </c>
      <c r="I190" t="s">
        <v>77</v>
      </c>
      <c r="J190" s="1">
        <v>10</v>
      </c>
      <c r="K190" s="1" t="s">
        <v>20</v>
      </c>
      <c r="L190" s="1" t="s">
        <v>52</v>
      </c>
      <c r="M190" s="1">
        <v>4.2</v>
      </c>
      <c r="N190" s="1">
        <v>76.33</v>
      </c>
      <c r="O190" s="1">
        <v>46339000</v>
      </c>
      <c r="P190" t="s">
        <v>2282</v>
      </c>
    </row>
    <row r="191" spans="1:16" x14ac:dyDescent="0.3">
      <c r="A191" s="1" t="s">
        <v>507</v>
      </c>
      <c r="B191" s="1" t="s">
        <v>14</v>
      </c>
      <c r="C191" s="1" t="s">
        <v>508</v>
      </c>
      <c r="D191" s="1" t="s">
        <v>24</v>
      </c>
      <c r="E191" s="1" t="s">
        <v>509</v>
      </c>
      <c r="F191" s="1" t="s">
        <v>26</v>
      </c>
      <c r="G191" s="6">
        <v>42699</v>
      </c>
      <c r="H191" s="1">
        <v>1993</v>
      </c>
      <c r="I191" t="s">
        <v>19</v>
      </c>
      <c r="J191" s="1">
        <v>10</v>
      </c>
      <c r="K191" s="1" t="s">
        <v>20</v>
      </c>
      <c r="L191" s="1" t="s">
        <v>69</v>
      </c>
      <c r="M191" s="1">
        <v>8.6</v>
      </c>
      <c r="N191" s="1">
        <v>62.91</v>
      </c>
      <c r="O191" s="1">
        <v>31747000</v>
      </c>
      <c r="P191" t="s">
        <v>2281</v>
      </c>
    </row>
    <row r="192" spans="1:16" x14ac:dyDescent="0.3">
      <c r="A192" s="1" t="s">
        <v>510</v>
      </c>
      <c r="B192" s="1" t="s">
        <v>14</v>
      </c>
      <c r="C192" s="1" t="s">
        <v>511</v>
      </c>
      <c r="D192" s="1" t="s">
        <v>24</v>
      </c>
      <c r="E192" s="1" t="s">
        <v>40</v>
      </c>
      <c r="F192" s="1" t="s">
        <v>45</v>
      </c>
      <c r="G192" s="6">
        <v>44956</v>
      </c>
      <c r="H192" s="1">
        <v>1997</v>
      </c>
      <c r="I192" t="s">
        <v>19</v>
      </c>
      <c r="J192" s="1">
        <v>2</v>
      </c>
      <c r="K192" s="1" t="s">
        <v>20</v>
      </c>
      <c r="L192" s="1" t="s">
        <v>41</v>
      </c>
      <c r="M192" s="1">
        <v>2</v>
      </c>
      <c r="N192" s="1">
        <v>66.27</v>
      </c>
      <c r="O192" s="1">
        <v>69620000</v>
      </c>
      <c r="P192" t="s">
        <v>2281</v>
      </c>
    </row>
    <row r="193" spans="1:16" x14ac:dyDescent="0.3">
      <c r="A193" s="1" t="s">
        <v>512</v>
      </c>
      <c r="B193" s="1" t="s">
        <v>14</v>
      </c>
      <c r="C193" s="1" t="s">
        <v>513</v>
      </c>
      <c r="D193" s="1" t="s">
        <v>49</v>
      </c>
      <c r="E193" s="1" t="s">
        <v>75</v>
      </c>
      <c r="F193" s="1" t="s">
        <v>26</v>
      </c>
      <c r="G193" s="6">
        <v>42872</v>
      </c>
      <c r="H193" s="1">
        <v>1999</v>
      </c>
      <c r="I193" t="s">
        <v>77</v>
      </c>
      <c r="J193" s="1">
        <v>5</v>
      </c>
      <c r="K193" s="1" t="s">
        <v>20</v>
      </c>
      <c r="L193" s="1" t="s">
        <v>52</v>
      </c>
      <c r="M193" s="1">
        <v>5.3</v>
      </c>
      <c r="N193" s="1">
        <v>133.80000000000001</v>
      </c>
      <c r="O193" s="1">
        <v>23456000</v>
      </c>
      <c r="P193" t="s">
        <v>2281</v>
      </c>
    </row>
    <row r="194" spans="1:16" x14ac:dyDescent="0.3">
      <c r="A194" s="1" t="s">
        <v>514</v>
      </c>
      <c r="B194" s="1" t="s">
        <v>14</v>
      </c>
      <c r="C194" s="1" t="s">
        <v>515</v>
      </c>
      <c r="D194" s="1" t="s">
        <v>72</v>
      </c>
      <c r="E194" s="1" t="s">
        <v>509</v>
      </c>
      <c r="F194" s="1" t="s">
        <v>33</v>
      </c>
      <c r="G194" s="6">
        <v>43427</v>
      </c>
      <c r="H194" s="1">
        <v>1990</v>
      </c>
      <c r="I194" t="s">
        <v>77</v>
      </c>
      <c r="J194" s="1">
        <v>10</v>
      </c>
      <c r="K194" s="1" t="s">
        <v>20</v>
      </c>
      <c r="L194" s="1" t="s">
        <v>69</v>
      </c>
      <c r="M194" s="1">
        <v>3.4</v>
      </c>
      <c r="N194" s="1">
        <v>76.290000000000006</v>
      </c>
      <c r="O194" s="1">
        <v>41964000</v>
      </c>
      <c r="P194" t="s">
        <v>2281</v>
      </c>
    </row>
    <row r="195" spans="1:16" hidden="1" x14ac:dyDescent="0.3">
      <c r="A195" s="1" t="s">
        <v>516</v>
      </c>
      <c r="B195" s="1" t="s">
        <v>37</v>
      </c>
      <c r="C195" s="1" t="s">
        <v>517</v>
      </c>
      <c r="D195" s="1" t="s">
        <v>62</v>
      </c>
      <c r="E195" s="1" t="s">
        <v>518</v>
      </c>
      <c r="F195" s="1" t="s">
        <v>51</v>
      </c>
      <c r="G195" s="6">
        <v>43848</v>
      </c>
      <c r="H195" s="1">
        <v>1995</v>
      </c>
      <c r="I195" t="s">
        <v>89</v>
      </c>
      <c r="J195" s="1">
        <v>171</v>
      </c>
      <c r="K195" s="1" t="s">
        <v>28</v>
      </c>
      <c r="L195" s="1" t="s">
        <v>21</v>
      </c>
      <c r="M195" s="1">
        <v>8.3000000000000007</v>
      </c>
      <c r="N195" s="1">
        <v>78.81</v>
      </c>
      <c r="O195" s="1">
        <v>14719000</v>
      </c>
      <c r="P195" t="s">
        <v>2282</v>
      </c>
    </row>
    <row r="196" spans="1:16" hidden="1" x14ac:dyDescent="0.3">
      <c r="A196" s="1" t="s">
        <v>519</v>
      </c>
      <c r="B196" s="1" t="s">
        <v>37</v>
      </c>
      <c r="C196" s="1" t="s">
        <v>520</v>
      </c>
      <c r="D196" s="1" t="s">
        <v>31</v>
      </c>
      <c r="E196" s="1" t="s">
        <v>133</v>
      </c>
      <c r="F196" s="1" t="s">
        <v>45</v>
      </c>
      <c r="G196" s="6">
        <v>43910</v>
      </c>
      <c r="H196" s="1">
        <v>1997</v>
      </c>
      <c r="I196" t="s">
        <v>89</v>
      </c>
      <c r="J196" s="1">
        <v>142</v>
      </c>
      <c r="K196" s="1" t="s">
        <v>28</v>
      </c>
      <c r="L196" s="1" t="s">
        <v>52</v>
      </c>
      <c r="M196" s="1">
        <v>3.3</v>
      </c>
      <c r="N196" s="1">
        <v>84.39</v>
      </c>
      <c r="O196" s="1">
        <v>65320000</v>
      </c>
      <c r="P196" t="s">
        <v>2282</v>
      </c>
    </row>
    <row r="197" spans="1:16" hidden="1" x14ac:dyDescent="0.3">
      <c r="A197" s="1" t="s">
        <v>521</v>
      </c>
      <c r="B197" s="1" t="s">
        <v>37</v>
      </c>
      <c r="C197" s="1" t="s">
        <v>522</v>
      </c>
      <c r="D197" s="1" t="s">
        <v>31</v>
      </c>
      <c r="E197" s="1" t="s">
        <v>72</v>
      </c>
      <c r="F197" s="1" t="s">
        <v>51</v>
      </c>
      <c r="G197" s="6">
        <v>42455</v>
      </c>
      <c r="H197" s="1">
        <v>2000</v>
      </c>
      <c r="I197" t="s">
        <v>89</v>
      </c>
      <c r="J197" s="1">
        <v>87</v>
      </c>
      <c r="K197" s="1" t="s">
        <v>28</v>
      </c>
      <c r="L197" s="1" t="s">
        <v>52</v>
      </c>
      <c r="M197" s="1">
        <v>7.9</v>
      </c>
      <c r="N197" s="1">
        <v>72.599999999999994</v>
      </c>
      <c r="O197" s="1">
        <v>72671000</v>
      </c>
      <c r="P197" t="s">
        <v>2282</v>
      </c>
    </row>
    <row r="198" spans="1:16" x14ac:dyDescent="0.3">
      <c r="A198" s="1" t="s">
        <v>523</v>
      </c>
      <c r="B198" s="1" t="s">
        <v>14</v>
      </c>
      <c r="C198" s="1" t="s">
        <v>524</v>
      </c>
      <c r="D198" s="1" t="s">
        <v>62</v>
      </c>
      <c r="E198" s="1" t="s">
        <v>525</v>
      </c>
      <c r="F198" s="1" t="s">
        <v>45</v>
      </c>
      <c r="G198" s="6">
        <v>43157</v>
      </c>
      <c r="H198" s="1">
        <v>2000</v>
      </c>
      <c r="I198" t="s">
        <v>19</v>
      </c>
      <c r="J198" s="1">
        <v>8</v>
      </c>
      <c r="K198" s="1" t="s">
        <v>20</v>
      </c>
      <c r="L198" s="1" t="s">
        <v>46</v>
      </c>
      <c r="M198" s="1">
        <v>8.1</v>
      </c>
      <c r="N198" s="1">
        <v>43.48</v>
      </c>
      <c r="O198" s="1">
        <v>88701000</v>
      </c>
      <c r="P198" t="s">
        <v>2281</v>
      </c>
    </row>
    <row r="199" spans="1:16" x14ac:dyDescent="0.3">
      <c r="A199" s="1" t="s">
        <v>526</v>
      </c>
      <c r="B199" s="1" t="s">
        <v>14</v>
      </c>
      <c r="C199" s="1" t="s">
        <v>527</v>
      </c>
      <c r="D199" s="1" t="s">
        <v>72</v>
      </c>
      <c r="E199" s="1" t="s">
        <v>83</v>
      </c>
      <c r="F199" s="1" t="s">
        <v>18</v>
      </c>
      <c r="G199" s="6">
        <v>43264</v>
      </c>
      <c r="H199" s="1">
        <v>2010</v>
      </c>
      <c r="I199" t="s">
        <v>55</v>
      </c>
      <c r="J199" s="1">
        <v>9</v>
      </c>
      <c r="K199" s="1" t="s">
        <v>20</v>
      </c>
      <c r="L199" s="1" t="s">
        <v>35</v>
      </c>
      <c r="M199" s="1">
        <v>7</v>
      </c>
      <c r="N199" s="1">
        <v>142.59</v>
      </c>
      <c r="O199" s="1">
        <v>60650000</v>
      </c>
      <c r="P199" t="s">
        <v>2282</v>
      </c>
    </row>
    <row r="200" spans="1:16" hidden="1" x14ac:dyDescent="0.3">
      <c r="A200" s="1" t="s">
        <v>528</v>
      </c>
      <c r="B200" s="1" t="s">
        <v>37</v>
      </c>
      <c r="C200" s="1" t="s">
        <v>529</v>
      </c>
      <c r="D200" s="1" t="s">
        <v>16</v>
      </c>
      <c r="E200" s="1" t="s">
        <v>169</v>
      </c>
      <c r="F200" s="1" t="s">
        <v>45</v>
      </c>
      <c r="G200" s="6">
        <v>43230</v>
      </c>
      <c r="H200" s="1">
        <v>2005</v>
      </c>
      <c r="I200" t="s">
        <v>89</v>
      </c>
      <c r="J200" s="1">
        <v>127</v>
      </c>
      <c r="K200" s="1" t="s">
        <v>28</v>
      </c>
      <c r="L200" s="1" t="s">
        <v>69</v>
      </c>
      <c r="M200" s="1">
        <v>2.6</v>
      </c>
      <c r="N200" s="1">
        <v>123.87</v>
      </c>
      <c r="O200" s="1">
        <v>45193000</v>
      </c>
      <c r="P200" t="s">
        <v>2282</v>
      </c>
    </row>
    <row r="201" spans="1:16" hidden="1" x14ac:dyDescent="0.3">
      <c r="A201" s="1" t="s">
        <v>530</v>
      </c>
      <c r="B201" s="1" t="s">
        <v>37</v>
      </c>
      <c r="C201" s="1" t="s">
        <v>531</v>
      </c>
      <c r="D201" s="1" t="s">
        <v>16</v>
      </c>
      <c r="E201" s="1" t="s">
        <v>419</v>
      </c>
      <c r="F201" s="1" t="s">
        <v>45</v>
      </c>
      <c r="G201" s="6">
        <v>44160</v>
      </c>
      <c r="H201" s="1">
        <v>2016</v>
      </c>
      <c r="I201" t="s">
        <v>34</v>
      </c>
      <c r="J201" s="1">
        <v>168</v>
      </c>
      <c r="K201" s="1" t="s">
        <v>28</v>
      </c>
      <c r="L201" s="1" t="s">
        <v>69</v>
      </c>
      <c r="M201" s="1">
        <v>6.8</v>
      </c>
      <c r="N201" s="1">
        <v>111.55</v>
      </c>
      <c r="O201" s="1">
        <v>36648000</v>
      </c>
      <c r="P201" t="s">
        <v>2281</v>
      </c>
    </row>
    <row r="202" spans="1:16" hidden="1" x14ac:dyDescent="0.3">
      <c r="A202" s="1" t="s">
        <v>532</v>
      </c>
      <c r="B202" s="1" t="s">
        <v>37</v>
      </c>
      <c r="C202" s="1" t="s">
        <v>533</v>
      </c>
      <c r="D202" s="1" t="s">
        <v>31</v>
      </c>
      <c r="E202" s="1" t="s">
        <v>150</v>
      </c>
      <c r="F202" s="1" t="s">
        <v>51</v>
      </c>
      <c r="G202" s="6">
        <v>44917</v>
      </c>
      <c r="H202" s="1">
        <v>2000</v>
      </c>
      <c r="I202" t="s">
        <v>19</v>
      </c>
      <c r="J202" s="1">
        <v>135</v>
      </c>
      <c r="K202" s="1" t="s">
        <v>28</v>
      </c>
      <c r="L202" s="1" t="s">
        <v>46</v>
      </c>
      <c r="M202" s="1">
        <v>1.7</v>
      </c>
      <c r="N202" s="1">
        <v>104.95</v>
      </c>
      <c r="O202" s="1">
        <v>84613000</v>
      </c>
      <c r="P202" t="s">
        <v>2282</v>
      </c>
    </row>
    <row r="203" spans="1:16" hidden="1" x14ac:dyDescent="0.3">
      <c r="A203" s="1" t="s">
        <v>534</v>
      </c>
      <c r="B203" s="1" t="s">
        <v>37</v>
      </c>
      <c r="C203" s="1" t="s">
        <v>535</v>
      </c>
      <c r="D203" s="1" t="s">
        <v>31</v>
      </c>
      <c r="E203" s="1" t="s">
        <v>72</v>
      </c>
      <c r="F203" s="1" t="s">
        <v>51</v>
      </c>
      <c r="G203" s="6">
        <v>42950</v>
      </c>
      <c r="H203" s="1">
        <v>2004</v>
      </c>
      <c r="I203" t="s">
        <v>77</v>
      </c>
      <c r="J203" s="1">
        <v>62</v>
      </c>
      <c r="K203" s="1" t="s">
        <v>28</v>
      </c>
      <c r="L203" s="1" t="s">
        <v>69</v>
      </c>
      <c r="M203" s="1">
        <v>1.3</v>
      </c>
      <c r="N203" s="1">
        <v>139.37</v>
      </c>
      <c r="O203" s="1">
        <v>67895000</v>
      </c>
      <c r="P203" t="s">
        <v>2281</v>
      </c>
    </row>
    <row r="204" spans="1:16" hidden="1" x14ac:dyDescent="0.3">
      <c r="A204" s="1" t="s">
        <v>536</v>
      </c>
      <c r="B204" s="1" t="s">
        <v>37</v>
      </c>
      <c r="C204" s="1" t="s">
        <v>537</v>
      </c>
      <c r="D204" s="1" t="s">
        <v>72</v>
      </c>
      <c r="E204" s="1" t="s">
        <v>17</v>
      </c>
      <c r="F204" s="1" t="s">
        <v>51</v>
      </c>
      <c r="G204" s="6">
        <v>42916</v>
      </c>
      <c r="H204" s="1">
        <v>2004</v>
      </c>
      <c r="I204" t="s">
        <v>27</v>
      </c>
      <c r="J204" s="1">
        <v>62</v>
      </c>
      <c r="K204" s="1" t="s">
        <v>28</v>
      </c>
      <c r="L204" s="1" t="s">
        <v>21</v>
      </c>
      <c r="M204" s="1">
        <v>4.5</v>
      </c>
      <c r="N204" s="1">
        <v>142.16999999999999</v>
      </c>
      <c r="O204" s="1">
        <v>81499000</v>
      </c>
      <c r="P204" t="s">
        <v>2281</v>
      </c>
    </row>
    <row r="205" spans="1:16" x14ac:dyDescent="0.3">
      <c r="A205" s="1" t="s">
        <v>538</v>
      </c>
      <c r="B205" s="1" t="s">
        <v>14</v>
      </c>
      <c r="C205" s="1" t="s">
        <v>539</v>
      </c>
      <c r="D205" s="1" t="s">
        <v>39</v>
      </c>
      <c r="E205" s="1" t="s">
        <v>175</v>
      </c>
      <c r="F205" s="1" t="s">
        <v>76</v>
      </c>
      <c r="G205" s="6">
        <v>44474</v>
      </c>
      <c r="H205" s="1">
        <v>1994</v>
      </c>
      <c r="I205" t="s">
        <v>34</v>
      </c>
      <c r="J205" s="1">
        <v>8</v>
      </c>
      <c r="K205" s="1" t="s">
        <v>20</v>
      </c>
      <c r="L205" s="1" t="s">
        <v>46</v>
      </c>
      <c r="M205" s="1">
        <v>9.1</v>
      </c>
      <c r="N205" s="1">
        <v>89.35</v>
      </c>
      <c r="O205" s="1">
        <v>73638000</v>
      </c>
      <c r="P205" t="s">
        <v>2282</v>
      </c>
    </row>
    <row r="206" spans="1:16" hidden="1" x14ac:dyDescent="0.3">
      <c r="A206" s="1" t="s">
        <v>540</v>
      </c>
      <c r="B206" s="1" t="s">
        <v>37</v>
      </c>
      <c r="C206" s="1" t="s">
        <v>541</v>
      </c>
      <c r="D206" s="1" t="s">
        <v>24</v>
      </c>
      <c r="E206" s="1" t="s">
        <v>201</v>
      </c>
      <c r="F206" s="1" t="s">
        <v>76</v>
      </c>
      <c r="G206" s="6">
        <v>42615</v>
      </c>
      <c r="H206" s="1">
        <v>2012</v>
      </c>
      <c r="I206" t="s">
        <v>19</v>
      </c>
      <c r="J206" s="1">
        <v>123</v>
      </c>
      <c r="K206" s="1" t="s">
        <v>28</v>
      </c>
      <c r="L206" s="1" t="s">
        <v>46</v>
      </c>
      <c r="M206" s="1">
        <v>4.7</v>
      </c>
      <c r="N206" s="1">
        <v>119.88</v>
      </c>
      <c r="O206" s="1">
        <v>53122000</v>
      </c>
      <c r="P206" t="s">
        <v>2282</v>
      </c>
    </row>
    <row r="207" spans="1:16" x14ac:dyDescent="0.3">
      <c r="A207" s="1" t="s">
        <v>542</v>
      </c>
      <c r="B207" s="1" t="s">
        <v>14</v>
      </c>
      <c r="C207" s="1" t="s">
        <v>543</v>
      </c>
      <c r="D207" s="1" t="s">
        <v>39</v>
      </c>
      <c r="E207" s="1" t="s">
        <v>347</v>
      </c>
      <c r="F207" s="1" t="s">
        <v>18</v>
      </c>
      <c r="G207" s="6">
        <v>44270</v>
      </c>
      <c r="H207" s="1">
        <v>1991</v>
      </c>
      <c r="I207" t="s">
        <v>34</v>
      </c>
      <c r="J207" s="1">
        <v>7</v>
      </c>
      <c r="K207" s="1" t="s">
        <v>20</v>
      </c>
      <c r="L207" s="1" t="s">
        <v>35</v>
      </c>
      <c r="M207" s="1">
        <v>9.1</v>
      </c>
      <c r="N207" s="1">
        <v>76.14</v>
      </c>
      <c r="O207" s="1">
        <v>22675000</v>
      </c>
      <c r="P207" t="s">
        <v>2282</v>
      </c>
    </row>
    <row r="208" spans="1:16" x14ac:dyDescent="0.3">
      <c r="A208" s="1" t="s">
        <v>544</v>
      </c>
      <c r="B208" s="1" t="s">
        <v>14</v>
      </c>
      <c r="C208" s="1" t="s">
        <v>545</v>
      </c>
      <c r="D208" s="1" t="s">
        <v>62</v>
      </c>
      <c r="E208" s="1" t="s">
        <v>546</v>
      </c>
      <c r="F208" s="1" t="s">
        <v>158</v>
      </c>
      <c r="G208" s="6">
        <v>43910</v>
      </c>
      <c r="H208" s="1">
        <v>2014</v>
      </c>
      <c r="I208" t="s">
        <v>27</v>
      </c>
      <c r="J208" s="1">
        <v>5</v>
      </c>
      <c r="K208" s="1" t="s">
        <v>20</v>
      </c>
      <c r="L208" s="1" t="s">
        <v>41</v>
      </c>
      <c r="M208" s="1">
        <v>2.1</v>
      </c>
      <c r="N208" s="1">
        <v>66.77</v>
      </c>
      <c r="O208" s="1">
        <v>74211000</v>
      </c>
      <c r="P208" t="s">
        <v>2282</v>
      </c>
    </row>
    <row r="209" spans="1:16" hidden="1" x14ac:dyDescent="0.3">
      <c r="A209" s="1" t="s">
        <v>547</v>
      </c>
      <c r="B209" s="1" t="s">
        <v>37</v>
      </c>
      <c r="C209" s="1" t="s">
        <v>548</v>
      </c>
      <c r="D209" s="1" t="s">
        <v>72</v>
      </c>
      <c r="E209" s="1" t="s">
        <v>169</v>
      </c>
      <c r="F209" s="1" t="s">
        <v>26</v>
      </c>
      <c r="G209" s="6">
        <v>42971</v>
      </c>
      <c r="H209" s="1">
        <v>2023</v>
      </c>
      <c r="I209" t="s">
        <v>77</v>
      </c>
      <c r="J209" s="1">
        <v>113</v>
      </c>
      <c r="K209" s="1" t="s">
        <v>28</v>
      </c>
      <c r="L209" s="1" t="s">
        <v>41</v>
      </c>
      <c r="M209" s="1">
        <v>1.5</v>
      </c>
      <c r="N209" s="1">
        <v>116.23</v>
      </c>
      <c r="O209" s="1">
        <v>13658000</v>
      </c>
      <c r="P209" t="s">
        <v>2282</v>
      </c>
    </row>
    <row r="210" spans="1:16" hidden="1" x14ac:dyDescent="0.3">
      <c r="A210" s="1" t="s">
        <v>549</v>
      </c>
      <c r="B210" s="1" t="s">
        <v>37</v>
      </c>
      <c r="C210" s="1" t="s">
        <v>550</v>
      </c>
      <c r="D210" s="1" t="s">
        <v>16</v>
      </c>
      <c r="E210" s="1" t="s">
        <v>372</v>
      </c>
      <c r="F210" s="1" t="s">
        <v>18</v>
      </c>
      <c r="G210" s="6">
        <v>44606</v>
      </c>
      <c r="H210" s="1">
        <v>2000</v>
      </c>
      <c r="I210" t="s">
        <v>89</v>
      </c>
      <c r="J210" s="1">
        <v>87</v>
      </c>
      <c r="K210" s="1" t="s">
        <v>28</v>
      </c>
      <c r="L210" s="1" t="s">
        <v>69</v>
      </c>
      <c r="M210" s="1">
        <v>5.4</v>
      </c>
      <c r="N210" s="1">
        <v>91.38</v>
      </c>
      <c r="O210" s="1">
        <v>51335000</v>
      </c>
      <c r="P210" t="s">
        <v>2281</v>
      </c>
    </row>
    <row r="211" spans="1:16" hidden="1" x14ac:dyDescent="0.3">
      <c r="A211" s="1" t="s">
        <v>551</v>
      </c>
      <c r="B211" s="1" t="s">
        <v>37</v>
      </c>
      <c r="C211" s="1" t="s">
        <v>552</v>
      </c>
      <c r="D211" s="1" t="s">
        <v>24</v>
      </c>
      <c r="E211" s="1" t="s">
        <v>50</v>
      </c>
      <c r="F211" s="1" t="s">
        <v>76</v>
      </c>
      <c r="G211" s="6">
        <v>43943</v>
      </c>
      <c r="H211" s="1">
        <v>2007</v>
      </c>
      <c r="I211" t="s">
        <v>19</v>
      </c>
      <c r="J211" s="1">
        <v>164</v>
      </c>
      <c r="K211" s="1" t="s">
        <v>28</v>
      </c>
      <c r="L211" s="1" t="s">
        <v>46</v>
      </c>
      <c r="M211" s="1">
        <v>1</v>
      </c>
      <c r="N211" s="1">
        <v>65.69</v>
      </c>
      <c r="O211" s="1">
        <v>12586000</v>
      </c>
      <c r="P211" t="s">
        <v>2282</v>
      </c>
    </row>
    <row r="212" spans="1:16" x14ac:dyDescent="0.3">
      <c r="A212" s="1" t="s">
        <v>553</v>
      </c>
      <c r="B212" s="1" t="s">
        <v>14</v>
      </c>
      <c r="C212" s="1" t="s">
        <v>554</v>
      </c>
      <c r="D212" s="1" t="s">
        <v>72</v>
      </c>
      <c r="E212" s="1" t="s">
        <v>50</v>
      </c>
      <c r="F212" s="1" t="s">
        <v>59</v>
      </c>
      <c r="G212" s="6">
        <v>42046</v>
      </c>
      <c r="H212" s="1">
        <v>2013</v>
      </c>
      <c r="I212" t="s">
        <v>27</v>
      </c>
      <c r="J212" s="1">
        <v>9</v>
      </c>
      <c r="K212" s="1" t="s">
        <v>20</v>
      </c>
      <c r="L212" s="1" t="s">
        <v>52</v>
      </c>
      <c r="M212" s="1">
        <v>5.7</v>
      </c>
      <c r="N212" s="1">
        <v>5.82</v>
      </c>
      <c r="O212" s="1">
        <v>87425000</v>
      </c>
      <c r="P212" t="s">
        <v>2282</v>
      </c>
    </row>
    <row r="213" spans="1:16" hidden="1" x14ac:dyDescent="0.3">
      <c r="A213" s="1" t="s">
        <v>555</v>
      </c>
      <c r="B213" s="1" t="s">
        <v>37</v>
      </c>
      <c r="C213" s="1" t="s">
        <v>556</v>
      </c>
      <c r="D213" s="1" t="s">
        <v>24</v>
      </c>
      <c r="E213" s="1" t="s">
        <v>72</v>
      </c>
      <c r="F213" s="1" t="s">
        <v>26</v>
      </c>
      <c r="G213" s="6">
        <v>44352</v>
      </c>
      <c r="H213" s="1">
        <v>1992</v>
      </c>
      <c r="I213" t="s">
        <v>19</v>
      </c>
      <c r="J213" s="1">
        <v>145</v>
      </c>
      <c r="K213" s="1" t="s">
        <v>28</v>
      </c>
      <c r="L213" s="1" t="s">
        <v>52</v>
      </c>
      <c r="M213" s="1">
        <v>9</v>
      </c>
      <c r="N213" s="1">
        <v>95.81</v>
      </c>
      <c r="O213" s="1">
        <v>92752000</v>
      </c>
      <c r="P213" t="s">
        <v>2281</v>
      </c>
    </row>
    <row r="214" spans="1:16" x14ac:dyDescent="0.3">
      <c r="A214" s="1" t="s">
        <v>557</v>
      </c>
      <c r="B214" s="1" t="s">
        <v>14</v>
      </c>
      <c r="C214" s="1" t="s">
        <v>558</v>
      </c>
      <c r="D214" s="1" t="s">
        <v>16</v>
      </c>
      <c r="E214" s="1" t="s">
        <v>559</v>
      </c>
      <c r="F214" s="1" t="s">
        <v>51</v>
      </c>
      <c r="G214" s="6">
        <v>43355</v>
      </c>
      <c r="H214" s="1">
        <v>2020</v>
      </c>
      <c r="I214" t="s">
        <v>55</v>
      </c>
      <c r="J214" s="1">
        <v>4</v>
      </c>
      <c r="K214" s="1" t="s">
        <v>20</v>
      </c>
      <c r="L214" s="1" t="s">
        <v>21</v>
      </c>
      <c r="M214" s="1">
        <v>6.1</v>
      </c>
      <c r="N214" s="1">
        <v>65.52</v>
      </c>
      <c r="O214" s="1">
        <v>22334000</v>
      </c>
      <c r="P214" t="s">
        <v>2282</v>
      </c>
    </row>
    <row r="215" spans="1:16" x14ac:dyDescent="0.3">
      <c r="A215" s="1" t="s">
        <v>560</v>
      </c>
      <c r="B215" s="1" t="s">
        <v>14</v>
      </c>
      <c r="C215" s="1" t="s">
        <v>561</v>
      </c>
      <c r="D215" s="1" t="s">
        <v>31</v>
      </c>
      <c r="E215" s="1" t="s">
        <v>364</v>
      </c>
      <c r="F215" s="1" t="s">
        <v>51</v>
      </c>
      <c r="G215" s="6">
        <v>43739</v>
      </c>
      <c r="H215" s="1">
        <v>2005</v>
      </c>
      <c r="I215" t="s">
        <v>77</v>
      </c>
      <c r="J215" s="1">
        <v>5</v>
      </c>
      <c r="K215" s="1" t="s">
        <v>20</v>
      </c>
      <c r="L215" s="1" t="s">
        <v>41</v>
      </c>
      <c r="M215" s="1">
        <v>2.6</v>
      </c>
      <c r="N215" s="1">
        <v>10.74</v>
      </c>
      <c r="O215" s="1">
        <v>23674000</v>
      </c>
      <c r="P215" t="s">
        <v>2281</v>
      </c>
    </row>
    <row r="216" spans="1:16" hidden="1" x14ac:dyDescent="0.3">
      <c r="A216" s="1" t="s">
        <v>562</v>
      </c>
      <c r="B216" s="1" t="s">
        <v>37</v>
      </c>
      <c r="C216" s="1" t="s">
        <v>563</v>
      </c>
      <c r="D216" s="1" t="s">
        <v>39</v>
      </c>
      <c r="E216" s="1" t="s">
        <v>564</v>
      </c>
      <c r="F216" s="1" t="s">
        <v>51</v>
      </c>
      <c r="G216" s="6">
        <v>43742</v>
      </c>
      <c r="H216" s="1">
        <v>2022</v>
      </c>
      <c r="I216" t="s">
        <v>89</v>
      </c>
      <c r="J216" s="1">
        <v>76</v>
      </c>
      <c r="K216" s="1" t="s">
        <v>28</v>
      </c>
      <c r="L216" s="1" t="s">
        <v>41</v>
      </c>
      <c r="M216" s="1">
        <v>4.3</v>
      </c>
      <c r="N216" s="1">
        <v>75</v>
      </c>
      <c r="O216" s="1">
        <v>30676000</v>
      </c>
      <c r="P216" t="s">
        <v>2281</v>
      </c>
    </row>
    <row r="217" spans="1:16" hidden="1" x14ac:dyDescent="0.3">
      <c r="A217" s="1" t="s">
        <v>565</v>
      </c>
      <c r="B217" s="1" t="s">
        <v>37</v>
      </c>
      <c r="C217" s="1" t="s">
        <v>566</v>
      </c>
      <c r="D217" s="1" t="s">
        <v>16</v>
      </c>
      <c r="E217" s="1" t="s">
        <v>252</v>
      </c>
      <c r="F217" s="1" t="s">
        <v>45</v>
      </c>
      <c r="G217" s="6">
        <v>45090</v>
      </c>
      <c r="H217" s="1">
        <v>1995</v>
      </c>
      <c r="I217" t="s">
        <v>27</v>
      </c>
      <c r="J217" s="1">
        <v>67</v>
      </c>
      <c r="K217" s="1" t="s">
        <v>28</v>
      </c>
      <c r="L217" s="1" t="s">
        <v>21</v>
      </c>
      <c r="M217" s="1">
        <v>3.1</v>
      </c>
      <c r="N217" s="1">
        <v>105.47</v>
      </c>
      <c r="O217" s="1">
        <v>34643000</v>
      </c>
      <c r="P217" t="s">
        <v>2281</v>
      </c>
    </row>
    <row r="218" spans="1:16" hidden="1" x14ac:dyDescent="0.3">
      <c r="A218" s="1" t="s">
        <v>567</v>
      </c>
      <c r="B218" s="1" t="s">
        <v>37</v>
      </c>
      <c r="C218" s="1" t="s">
        <v>568</v>
      </c>
      <c r="D218" s="1" t="s">
        <v>39</v>
      </c>
      <c r="E218" s="1" t="s">
        <v>63</v>
      </c>
      <c r="F218" s="1" t="s">
        <v>158</v>
      </c>
      <c r="G218" s="6">
        <v>43199</v>
      </c>
      <c r="H218" s="1">
        <v>1997</v>
      </c>
      <c r="I218" t="s">
        <v>27</v>
      </c>
      <c r="J218" s="1">
        <v>160</v>
      </c>
      <c r="K218" s="1" t="s">
        <v>28</v>
      </c>
      <c r="L218" s="1" t="s">
        <v>46</v>
      </c>
      <c r="M218" s="1">
        <v>6.5</v>
      </c>
      <c r="N218" s="1">
        <v>2.36</v>
      </c>
      <c r="O218" s="1">
        <v>31272000</v>
      </c>
      <c r="P218" t="s">
        <v>2281</v>
      </c>
    </row>
    <row r="219" spans="1:16" hidden="1" x14ac:dyDescent="0.3">
      <c r="A219" s="1" t="s">
        <v>569</v>
      </c>
      <c r="B219" s="1" t="s">
        <v>37</v>
      </c>
      <c r="C219" s="1" t="s">
        <v>570</v>
      </c>
      <c r="D219" s="1" t="s">
        <v>16</v>
      </c>
      <c r="E219" s="1" t="s">
        <v>111</v>
      </c>
      <c r="F219" s="1" t="s">
        <v>51</v>
      </c>
      <c r="G219" s="6">
        <v>42915</v>
      </c>
      <c r="H219" s="1">
        <v>2007</v>
      </c>
      <c r="I219" t="s">
        <v>55</v>
      </c>
      <c r="J219" s="1">
        <v>64</v>
      </c>
      <c r="K219" s="1" t="s">
        <v>28</v>
      </c>
      <c r="L219" s="1" t="s">
        <v>35</v>
      </c>
      <c r="M219" s="1">
        <v>2</v>
      </c>
      <c r="N219" s="1">
        <v>54.67</v>
      </c>
      <c r="O219" s="1">
        <v>53833000</v>
      </c>
      <c r="P219" t="s">
        <v>2282</v>
      </c>
    </row>
    <row r="220" spans="1:16" x14ac:dyDescent="0.3">
      <c r="A220" s="1" t="s">
        <v>571</v>
      </c>
      <c r="B220" s="1" t="s">
        <v>14</v>
      </c>
      <c r="C220" s="1" t="s">
        <v>572</v>
      </c>
      <c r="D220" s="1" t="s">
        <v>24</v>
      </c>
      <c r="E220" s="1" t="s">
        <v>386</v>
      </c>
      <c r="F220" s="1" t="s">
        <v>33</v>
      </c>
      <c r="G220" s="6">
        <v>42270</v>
      </c>
      <c r="H220" s="1">
        <v>1991</v>
      </c>
      <c r="I220" t="s">
        <v>89</v>
      </c>
      <c r="J220" s="1">
        <v>5</v>
      </c>
      <c r="K220" s="1" t="s">
        <v>20</v>
      </c>
      <c r="L220" s="1" t="s">
        <v>52</v>
      </c>
      <c r="M220" s="1">
        <v>8.1999999999999993</v>
      </c>
      <c r="N220" s="1">
        <v>75.760000000000005</v>
      </c>
      <c r="O220" s="1">
        <v>4786000</v>
      </c>
      <c r="P220" t="s">
        <v>2282</v>
      </c>
    </row>
    <row r="221" spans="1:16" x14ac:dyDescent="0.3">
      <c r="A221" s="1" t="s">
        <v>573</v>
      </c>
      <c r="B221" s="1" t="s">
        <v>14</v>
      </c>
      <c r="C221" s="1" t="s">
        <v>574</v>
      </c>
      <c r="D221" s="1" t="s">
        <v>24</v>
      </c>
      <c r="E221" s="1" t="s">
        <v>75</v>
      </c>
      <c r="F221" s="1" t="s">
        <v>33</v>
      </c>
      <c r="G221" s="6">
        <v>43597</v>
      </c>
      <c r="H221" s="1">
        <v>2009</v>
      </c>
      <c r="I221" t="s">
        <v>77</v>
      </c>
      <c r="J221" s="1">
        <v>8</v>
      </c>
      <c r="K221" s="1" t="s">
        <v>20</v>
      </c>
      <c r="L221" s="1" t="s">
        <v>46</v>
      </c>
      <c r="M221" s="1">
        <v>5.9</v>
      </c>
      <c r="N221" s="1">
        <v>26.91</v>
      </c>
      <c r="O221" s="1">
        <v>93438000</v>
      </c>
      <c r="P221" t="s">
        <v>2281</v>
      </c>
    </row>
    <row r="222" spans="1:16" hidden="1" x14ac:dyDescent="0.3">
      <c r="A222" s="1" t="s">
        <v>575</v>
      </c>
      <c r="B222" s="1" t="s">
        <v>37</v>
      </c>
      <c r="C222" s="1" t="s">
        <v>576</v>
      </c>
      <c r="D222" s="1" t="s">
        <v>72</v>
      </c>
      <c r="E222" s="1" t="s">
        <v>92</v>
      </c>
      <c r="F222" s="1" t="s">
        <v>33</v>
      </c>
      <c r="G222" s="6">
        <v>43294</v>
      </c>
      <c r="H222" s="1">
        <v>2002</v>
      </c>
      <c r="I222" t="s">
        <v>19</v>
      </c>
      <c r="J222" s="1">
        <v>97</v>
      </c>
      <c r="K222" s="1" t="s">
        <v>28</v>
      </c>
      <c r="L222" s="1" t="s">
        <v>35</v>
      </c>
      <c r="M222" s="1">
        <v>8.6999999999999993</v>
      </c>
      <c r="N222" s="1">
        <v>46.21</v>
      </c>
      <c r="O222" s="1">
        <v>78771000</v>
      </c>
      <c r="P222" t="s">
        <v>2282</v>
      </c>
    </row>
    <row r="223" spans="1:16" x14ac:dyDescent="0.3">
      <c r="A223" s="1" t="s">
        <v>577</v>
      </c>
      <c r="B223" s="1" t="s">
        <v>14</v>
      </c>
      <c r="C223" s="1" t="s">
        <v>578</v>
      </c>
      <c r="D223" s="1" t="s">
        <v>49</v>
      </c>
      <c r="E223" s="1" t="s">
        <v>579</v>
      </c>
      <c r="F223" s="1" t="s">
        <v>33</v>
      </c>
      <c r="G223" s="6">
        <v>42703</v>
      </c>
      <c r="H223" s="1">
        <v>1991</v>
      </c>
      <c r="I223" t="s">
        <v>55</v>
      </c>
      <c r="J223" s="1">
        <v>1</v>
      </c>
      <c r="K223" s="1" t="s">
        <v>20</v>
      </c>
      <c r="L223" s="1" t="s">
        <v>52</v>
      </c>
      <c r="M223" s="1">
        <v>7.3</v>
      </c>
      <c r="N223" s="1">
        <v>77.650000000000006</v>
      </c>
      <c r="O223" s="1">
        <v>49106000</v>
      </c>
      <c r="P223" t="s">
        <v>2282</v>
      </c>
    </row>
    <row r="224" spans="1:16" x14ac:dyDescent="0.3">
      <c r="A224" s="1" t="s">
        <v>580</v>
      </c>
      <c r="B224" s="1" t="s">
        <v>14</v>
      </c>
      <c r="C224" s="1" t="s">
        <v>581</v>
      </c>
      <c r="D224" s="1" t="s">
        <v>16</v>
      </c>
      <c r="E224" s="1" t="s">
        <v>144</v>
      </c>
      <c r="F224" s="1" t="s">
        <v>51</v>
      </c>
      <c r="G224" s="6">
        <v>44331</v>
      </c>
      <c r="H224" s="1">
        <v>2005</v>
      </c>
      <c r="I224" t="s">
        <v>19</v>
      </c>
      <c r="J224" s="1">
        <v>9</v>
      </c>
      <c r="K224" s="1" t="s">
        <v>20</v>
      </c>
      <c r="L224" s="1" t="s">
        <v>35</v>
      </c>
      <c r="M224" s="1">
        <v>8.8000000000000007</v>
      </c>
      <c r="N224" s="1">
        <v>126.87</v>
      </c>
      <c r="O224" s="1">
        <v>78240000</v>
      </c>
      <c r="P224" t="s">
        <v>2281</v>
      </c>
    </row>
    <row r="225" spans="1:16" hidden="1" x14ac:dyDescent="0.3">
      <c r="A225" s="1" t="s">
        <v>582</v>
      </c>
      <c r="B225" s="1" t="s">
        <v>37</v>
      </c>
      <c r="C225" s="1" t="s">
        <v>583</v>
      </c>
      <c r="D225" s="1" t="s">
        <v>49</v>
      </c>
      <c r="E225" s="1" t="s">
        <v>584</v>
      </c>
      <c r="F225" s="1" t="s">
        <v>51</v>
      </c>
      <c r="G225" s="6">
        <v>44543</v>
      </c>
      <c r="H225" s="1">
        <v>2010</v>
      </c>
      <c r="I225" t="s">
        <v>19</v>
      </c>
      <c r="J225" s="1">
        <v>153</v>
      </c>
      <c r="K225" s="1" t="s">
        <v>28</v>
      </c>
      <c r="L225" s="1" t="s">
        <v>41</v>
      </c>
      <c r="M225" s="1">
        <v>7.1</v>
      </c>
      <c r="N225" s="1">
        <v>21.19</v>
      </c>
      <c r="O225" s="1">
        <v>49589000</v>
      </c>
      <c r="P225" t="s">
        <v>2282</v>
      </c>
    </row>
    <row r="226" spans="1:16" hidden="1" x14ac:dyDescent="0.3">
      <c r="A226" s="1" t="s">
        <v>585</v>
      </c>
      <c r="B226" s="1" t="s">
        <v>37</v>
      </c>
      <c r="C226" s="1" t="s">
        <v>586</v>
      </c>
      <c r="D226" s="1" t="s">
        <v>49</v>
      </c>
      <c r="E226" s="1" t="s">
        <v>120</v>
      </c>
      <c r="F226" s="1" t="s">
        <v>158</v>
      </c>
      <c r="G226" s="6">
        <v>42428</v>
      </c>
      <c r="H226" s="1">
        <v>2015</v>
      </c>
      <c r="I226" t="s">
        <v>27</v>
      </c>
      <c r="J226" s="1">
        <v>140</v>
      </c>
      <c r="K226" s="1" t="s">
        <v>28</v>
      </c>
      <c r="L226" s="1" t="s">
        <v>41</v>
      </c>
      <c r="M226" s="1">
        <v>3</v>
      </c>
      <c r="N226" s="1">
        <v>40.46</v>
      </c>
      <c r="O226" s="1">
        <v>46923000</v>
      </c>
      <c r="P226" t="s">
        <v>2281</v>
      </c>
    </row>
    <row r="227" spans="1:16" hidden="1" x14ac:dyDescent="0.3">
      <c r="A227" s="1" t="s">
        <v>587</v>
      </c>
      <c r="B227" s="1" t="s">
        <v>37</v>
      </c>
      <c r="C227" s="1" t="s">
        <v>588</v>
      </c>
      <c r="D227" s="1" t="s">
        <v>49</v>
      </c>
      <c r="E227" s="1" t="s">
        <v>72</v>
      </c>
      <c r="F227" s="1" t="s">
        <v>59</v>
      </c>
      <c r="G227" s="6">
        <v>43144</v>
      </c>
      <c r="H227" s="1">
        <v>2012</v>
      </c>
      <c r="I227" t="s">
        <v>34</v>
      </c>
      <c r="J227" s="1">
        <v>120</v>
      </c>
      <c r="K227" s="1" t="s">
        <v>28</v>
      </c>
      <c r="L227" s="1" t="s">
        <v>52</v>
      </c>
      <c r="M227" s="1">
        <v>8.5</v>
      </c>
      <c r="N227" s="1">
        <v>4.3600000000000003</v>
      </c>
      <c r="O227" s="1">
        <v>62275000</v>
      </c>
      <c r="P227" t="s">
        <v>2281</v>
      </c>
    </row>
    <row r="228" spans="1:16" hidden="1" x14ac:dyDescent="0.3">
      <c r="A228" s="1" t="s">
        <v>589</v>
      </c>
      <c r="B228" s="1" t="s">
        <v>37</v>
      </c>
      <c r="C228" s="1" t="s">
        <v>590</v>
      </c>
      <c r="D228" s="1" t="s">
        <v>72</v>
      </c>
      <c r="E228" s="1" t="s">
        <v>92</v>
      </c>
      <c r="F228" s="1" t="s">
        <v>26</v>
      </c>
      <c r="G228" s="6">
        <v>44486</v>
      </c>
      <c r="H228" s="1">
        <v>2016</v>
      </c>
      <c r="I228" t="s">
        <v>55</v>
      </c>
      <c r="J228" s="1">
        <v>123</v>
      </c>
      <c r="K228" s="1" t="s">
        <v>28</v>
      </c>
      <c r="L228" s="1" t="s">
        <v>21</v>
      </c>
      <c r="M228" s="1">
        <v>2.6</v>
      </c>
      <c r="N228" s="1">
        <v>135.59</v>
      </c>
      <c r="O228" s="1">
        <v>40132000</v>
      </c>
      <c r="P228" t="s">
        <v>2282</v>
      </c>
    </row>
    <row r="229" spans="1:16" x14ac:dyDescent="0.3">
      <c r="A229" s="1" t="s">
        <v>591</v>
      </c>
      <c r="B229" s="1" t="s">
        <v>14</v>
      </c>
      <c r="C229" s="1" t="s">
        <v>592</v>
      </c>
      <c r="D229" s="1" t="s">
        <v>24</v>
      </c>
      <c r="E229" s="1" t="s">
        <v>169</v>
      </c>
      <c r="F229" s="1" t="s">
        <v>18</v>
      </c>
      <c r="G229" s="6">
        <v>44658</v>
      </c>
      <c r="H229" s="1">
        <v>1993</v>
      </c>
      <c r="I229" t="s">
        <v>34</v>
      </c>
      <c r="J229" s="1">
        <v>9</v>
      </c>
      <c r="K229" s="1" t="s">
        <v>20</v>
      </c>
      <c r="L229" s="1" t="s">
        <v>69</v>
      </c>
      <c r="M229" s="1">
        <v>3.8</v>
      </c>
      <c r="N229" s="1">
        <v>24.42</v>
      </c>
      <c r="O229" s="1">
        <v>13824000</v>
      </c>
      <c r="P229" t="s">
        <v>2281</v>
      </c>
    </row>
    <row r="230" spans="1:16" x14ac:dyDescent="0.3">
      <c r="A230" s="1" t="s">
        <v>593</v>
      </c>
      <c r="B230" s="1" t="s">
        <v>14</v>
      </c>
      <c r="C230" s="1" t="s">
        <v>594</v>
      </c>
      <c r="D230" s="1" t="s">
        <v>72</v>
      </c>
      <c r="E230" s="1" t="s">
        <v>344</v>
      </c>
      <c r="F230" s="1" t="s">
        <v>76</v>
      </c>
      <c r="G230" s="6">
        <v>43540</v>
      </c>
      <c r="H230" s="1">
        <v>1992</v>
      </c>
      <c r="I230" t="s">
        <v>55</v>
      </c>
      <c r="J230" s="1">
        <v>1</v>
      </c>
      <c r="K230" s="1" t="s">
        <v>20</v>
      </c>
      <c r="L230" s="1" t="s">
        <v>69</v>
      </c>
      <c r="M230" s="1">
        <v>2.2000000000000002</v>
      </c>
      <c r="N230" s="1">
        <v>24.02</v>
      </c>
      <c r="O230" s="1">
        <v>13665000</v>
      </c>
      <c r="P230" t="s">
        <v>2281</v>
      </c>
    </row>
    <row r="231" spans="1:16" x14ac:dyDescent="0.3">
      <c r="A231" s="1" t="s">
        <v>595</v>
      </c>
      <c r="B231" s="1" t="s">
        <v>14</v>
      </c>
      <c r="C231" s="1" t="s">
        <v>596</v>
      </c>
      <c r="D231" s="1" t="s">
        <v>39</v>
      </c>
      <c r="E231" s="1" t="s">
        <v>267</v>
      </c>
      <c r="F231" s="1" t="s">
        <v>158</v>
      </c>
      <c r="G231" s="6">
        <v>42341</v>
      </c>
      <c r="H231" s="1">
        <v>2020</v>
      </c>
      <c r="I231" t="s">
        <v>19</v>
      </c>
      <c r="J231" s="1">
        <v>3</v>
      </c>
      <c r="K231" s="1" t="s">
        <v>20</v>
      </c>
      <c r="L231" s="1" t="s">
        <v>46</v>
      </c>
      <c r="M231" s="1">
        <v>7.7</v>
      </c>
      <c r="N231" s="1">
        <v>25.61</v>
      </c>
      <c r="O231" s="1">
        <v>60858000</v>
      </c>
      <c r="P231" t="s">
        <v>2281</v>
      </c>
    </row>
    <row r="232" spans="1:16" x14ac:dyDescent="0.3">
      <c r="A232" s="1" t="s">
        <v>597</v>
      </c>
      <c r="B232" s="1" t="s">
        <v>14</v>
      </c>
      <c r="C232" s="1" t="s">
        <v>598</v>
      </c>
      <c r="D232" s="1" t="s">
        <v>49</v>
      </c>
      <c r="E232" s="1" t="s">
        <v>599</v>
      </c>
      <c r="F232" s="1" t="s">
        <v>18</v>
      </c>
      <c r="G232" s="6">
        <v>44941</v>
      </c>
      <c r="H232" s="1">
        <v>2019</v>
      </c>
      <c r="I232" t="s">
        <v>55</v>
      </c>
      <c r="J232" s="1">
        <v>3</v>
      </c>
      <c r="K232" s="1" t="s">
        <v>20</v>
      </c>
      <c r="L232" s="1" t="s">
        <v>21</v>
      </c>
      <c r="M232" s="1">
        <v>5.0999999999999996</v>
      </c>
      <c r="N232" s="1">
        <v>0.55000000000000004</v>
      </c>
      <c r="O232" s="1">
        <v>23705000</v>
      </c>
      <c r="P232" t="s">
        <v>2281</v>
      </c>
    </row>
    <row r="233" spans="1:16" hidden="1" x14ac:dyDescent="0.3">
      <c r="A233" s="1" t="s">
        <v>600</v>
      </c>
      <c r="B233" s="1" t="s">
        <v>37</v>
      </c>
      <c r="C233" s="1" t="s">
        <v>601</v>
      </c>
      <c r="D233" s="1" t="s">
        <v>39</v>
      </c>
      <c r="E233" s="1" t="s">
        <v>602</v>
      </c>
      <c r="F233" s="1" t="s">
        <v>45</v>
      </c>
      <c r="G233" s="6">
        <v>42275</v>
      </c>
      <c r="H233" s="1">
        <v>2023</v>
      </c>
      <c r="I233" t="s">
        <v>77</v>
      </c>
      <c r="J233" s="1">
        <v>66</v>
      </c>
      <c r="K233" s="1" t="s">
        <v>28</v>
      </c>
      <c r="L233" s="1" t="s">
        <v>46</v>
      </c>
      <c r="M233" s="1">
        <v>999</v>
      </c>
      <c r="N233" s="1">
        <v>16.66</v>
      </c>
      <c r="O233" s="1">
        <v>5958000</v>
      </c>
      <c r="P233" t="s">
        <v>2282</v>
      </c>
    </row>
    <row r="234" spans="1:16" hidden="1" x14ac:dyDescent="0.3">
      <c r="A234" s="1" t="s">
        <v>603</v>
      </c>
      <c r="B234" s="1" t="s">
        <v>37</v>
      </c>
      <c r="C234" s="1" t="s">
        <v>604</v>
      </c>
      <c r="D234" s="1" t="s">
        <v>39</v>
      </c>
      <c r="E234" s="1" t="s">
        <v>270</v>
      </c>
      <c r="F234" s="1" t="s">
        <v>33</v>
      </c>
      <c r="G234" s="6">
        <v>42021</v>
      </c>
      <c r="H234" s="1">
        <v>1992</v>
      </c>
      <c r="I234" t="s">
        <v>19</v>
      </c>
      <c r="J234" s="1">
        <v>172</v>
      </c>
      <c r="K234" s="1" t="s">
        <v>28</v>
      </c>
      <c r="L234" s="1" t="s">
        <v>46</v>
      </c>
      <c r="M234" s="1">
        <v>6.9</v>
      </c>
      <c r="N234" s="1">
        <v>60.79</v>
      </c>
      <c r="O234" s="1">
        <v>97226000</v>
      </c>
      <c r="P234" t="s">
        <v>2281</v>
      </c>
    </row>
    <row r="235" spans="1:16" hidden="1" x14ac:dyDescent="0.3">
      <c r="A235" s="1" t="s">
        <v>605</v>
      </c>
      <c r="B235" s="1" t="s">
        <v>37</v>
      </c>
      <c r="C235" s="1" t="s">
        <v>606</v>
      </c>
      <c r="D235" s="1" t="s">
        <v>49</v>
      </c>
      <c r="E235" s="1" t="s">
        <v>607</v>
      </c>
      <c r="F235" s="1" t="s">
        <v>158</v>
      </c>
      <c r="G235" s="6">
        <v>42443</v>
      </c>
      <c r="H235" s="1">
        <v>1990</v>
      </c>
      <c r="I235" t="s">
        <v>19</v>
      </c>
      <c r="J235" s="1">
        <v>174</v>
      </c>
      <c r="K235" s="1" t="s">
        <v>28</v>
      </c>
      <c r="L235" s="1" t="s">
        <v>52</v>
      </c>
      <c r="M235" s="1">
        <v>5.5</v>
      </c>
      <c r="N235" s="1">
        <v>130.94999999999999</v>
      </c>
      <c r="O235" s="1">
        <v>25728000</v>
      </c>
      <c r="P235" t="s">
        <v>2282</v>
      </c>
    </row>
    <row r="236" spans="1:16" hidden="1" x14ac:dyDescent="0.3">
      <c r="A236" s="1" t="s">
        <v>608</v>
      </c>
      <c r="B236" s="1" t="s">
        <v>37</v>
      </c>
      <c r="C236" s="1" t="s">
        <v>609</v>
      </c>
      <c r="D236" s="1" t="s">
        <v>72</v>
      </c>
      <c r="E236" s="1" t="s">
        <v>75</v>
      </c>
      <c r="F236" s="1" t="s">
        <v>59</v>
      </c>
      <c r="G236" s="6">
        <v>43266</v>
      </c>
      <c r="H236" s="1">
        <v>1995</v>
      </c>
      <c r="I236" t="s">
        <v>27</v>
      </c>
      <c r="J236" s="1">
        <v>148</v>
      </c>
      <c r="K236" s="1" t="s">
        <v>28</v>
      </c>
      <c r="L236" s="1" t="s">
        <v>21</v>
      </c>
      <c r="M236" s="1">
        <v>6.3</v>
      </c>
      <c r="N236" s="1">
        <v>54.31</v>
      </c>
      <c r="O236" s="1">
        <v>9728000</v>
      </c>
      <c r="P236" t="s">
        <v>2282</v>
      </c>
    </row>
    <row r="237" spans="1:16" hidden="1" x14ac:dyDescent="0.3">
      <c r="A237" s="1" t="s">
        <v>610</v>
      </c>
      <c r="B237" s="1" t="s">
        <v>37</v>
      </c>
      <c r="C237" s="1" t="s">
        <v>611</v>
      </c>
      <c r="D237" s="1" t="s">
        <v>49</v>
      </c>
      <c r="E237" s="1" t="s">
        <v>75</v>
      </c>
      <c r="F237" s="1" t="s">
        <v>51</v>
      </c>
      <c r="G237" s="6">
        <v>44546</v>
      </c>
      <c r="H237" s="1">
        <v>1999</v>
      </c>
      <c r="I237" t="s">
        <v>19</v>
      </c>
      <c r="J237" s="1">
        <v>143</v>
      </c>
      <c r="K237" s="1" t="s">
        <v>28</v>
      </c>
      <c r="L237" s="1" t="s">
        <v>52</v>
      </c>
      <c r="M237" s="1">
        <v>6.9</v>
      </c>
      <c r="N237" s="1">
        <v>36.92</v>
      </c>
      <c r="O237" s="1">
        <v>62223000</v>
      </c>
      <c r="P237" t="s">
        <v>2282</v>
      </c>
    </row>
    <row r="238" spans="1:16" hidden="1" x14ac:dyDescent="0.3">
      <c r="A238" s="1" t="s">
        <v>612</v>
      </c>
      <c r="B238" s="1" t="s">
        <v>37</v>
      </c>
      <c r="C238" s="1" t="s">
        <v>613</v>
      </c>
      <c r="D238" s="1" t="s">
        <v>62</v>
      </c>
      <c r="E238" s="1" t="s">
        <v>63</v>
      </c>
      <c r="F238" s="1" t="s">
        <v>18</v>
      </c>
      <c r="G238" s="6">
        <v>44002</v>
      </c>
      <c r="H238" s="1">
        <v>2014</v>
      </c>
      <c r="I238" t="s">
        <v>19</v>
      </c>
      <c r="J238" s="1">
        <v>151</v>
      </c>
      <c r="K238" s="1" t="s">
        <v>28</v>
      </c>
      <c r="L238" s="1" t="s">
        <v>46</v>
      </c>
      <c r="M238" s="1">
        <v>1.5</v>
      </c>
      <c r="N238" s="1">
        <v>52.84</v>
      </c>
      <c r="O238" s="1">
        <v>15683000</v>
      </c>
      <c r="P238" t="s">
        <v>2282</v>
      </c>
    </row>
    <row r="239" spans="1:16" hidden="1" x14ac:dyDescent="0.3">
      <c r="A239" s="1" t="s">
        <v>614</v>
      </c>
      <c r="B239" s="1" t="s">
        <v>37</v>
      </c>
      <c r="C239" s="1" t="s">
        <v>615</v>
      </c>
      <c r="D239" s="1" t="s">
        <v>62</v>
      </c>
      <c r="E239" s="1" t="s">
        <v>72</v>
      </c>
      <c r="F239" s="1" t="s">
        <v>45</v>
      </c>
      <c r="G239" s="6">
        <v>42285</v>
      </c>
      <c r="H239" s="1">
        <v>2001</v>
      </c>
      <c r="I239" t="s">
        <v>19</v>
      </c>
      <c r="J239" s="1">
        <v>62</v>
      </c>
      <c r="K239" s="1" t="s">
        <v>28</v>
      </c>
      <c r="L239" s="1" t="s">
        <v>41</v>
      </c>
      <c r="M239" s="1">
        <v>5.7</v>
      </c>
      <c r="N239" s="1">
        <v>93.22</v>
      </c>
      <c r="O239" s="1">
        <v>50449000</v>
      </c>
      <c r="P239" t="s">
        <v>2281</v>
      </c>
    </row>
    <row r="240" spans="1:16" hidden="1" x14ac:dyDescent="0.3">
      <c r="A240" s="1" t="s">
        <v>616</v>
      </c>
      <c r="B240" s="1" t="s">
        <v>37</v>
      </c>
      <c r="C240" s="1" t="s">
        <v>617</v>
      </c>
      <c r="D240" s="1" t="s">
        <v>72</v>
      </c>
      <c r="E240" s="1" t="s">
        <v>344</v>
      </c>
      <c r="F240" s="1" t="s">
        <v>158</v>
      </c>
      <c r="G240" s="6">
        <v>43668</v>
      </c>
      <c r="H240" s="1">
        <v>2021</v>
      </c>
      <c r="I240" t="s">
        <v>19</v>
      </c>
      <c r="J240" s="1">
        <v>138</v>
      </c>
      <c r="K240" s="1" t="s">
        <v>28</v>
      </c>
      <c r="L240" s="1" t="s">
        <v>46</v>
      </c>
      <c r="M240" s="1">
        <v>3</v>
      </c>
      <c r="N240" s="1">
        <v>61.67</v>
      </c>
      <c r="O240" s="1">
        <v>41292000</v>
      </c>
      <c r="P240" t="s">
        <v>2282</v>
      </c>
    </row>
    <row r="241" spans="1:16" x14ac:dyDescent="0.3">
      <c r="A241" s="1" t="s">
        <v>618</v>
      </c>
      <c r="B241" s="1" t="s">
        <v>14</v>
      </c>
      <c r="C241" s="1" t="s">
        <v>619</v>
      </c>
      <c r="D241" s="1" t="s">
        <v>24</v>
      </c>
      <c r="E241" s="1" t="s">
        <v>123</v>
      </c>
      <c r="F241" s="1" t="s">
        <v>18</v>
      </c>
      <c r="G241" s="6">
        <v>42819</v>
      </c>
      <c r="H241" s="1">
        <v>2005</v>
      </c>
      <c r="I241" t="s">
        <v>19</v>
      </c>
      <c r="J241" s="1">
        <v>4</v>
      </c>
      <c r="K241" s="1" t="s">
        <v>20</v>
      </c>
      <c r="L241" s="1" t="s">
        <v>35</v>
      </c>
      <c r="M241" s="1">
        <v>7.4</v>
      </c>
      <c r="N241" s="1">
        <v>69.47</v>
      </c>
      <c r="O241" s="1">
        <v>4472000</v>
      </c>
      <c r="P241" t="s">
        <v>2282</v>
      </c>
    </row>
    <row r="242" spans="1:16" hidden="1" x14ac:dyDescent="0.3">
      <c r="A242" s="1" t="s">
        <v>620</v>
      </c>
      <c r="B242" s="1" t="s">
        <v>37</v>
      </c>
      <c r="C242" s="1" t="s">
        <v>621</v>
      </c>
      <c r="D242" s="1" t="s">
        <v>16</v>
      </c>
      <c r="E242" s="1" t="s">
        <v>175</v>
      </c>
      <c r="F242" s="1" t="s">
        <v>26</v>
      </c>
      <c r="G242" s="6">
        <v>44885</v>
      </c>
      <c r="H242" s="1">
        <v>2017</v>
      </c>
      <c r="I242" t="s">
        <v>55</v>
      </c>
      <c r="J242" s="1">
        <v>179</v>
      </c>
      <c r="K242" s="1" t="s">
        <v>28</v>
      </c>
      <c r="L242" s="1" t="s">
        <v>52</v>
      </c>
      <c r="M242" s="1">
        <v>2.2999999999999998</v>
      </c>
      <c r="N242" s="1">
        <v>123.6</v>
      </c>
      <c r="O242" s="1">
        <v>30967000</v>
      </c>
      <c r="P242" t="s">
        <v>2281</v>
      </c>
    </row>
    <row r="243" spans="1:16" x14ac:dyDescent="0.3">
      <c r="A243" s="1" t="s">
        <v>622</v>
      </c>
      <c r="B243" s="1" t="s">
        <v>14</v>
      </c>
      <c r="C243" s="1" t="s">
        <v>623</v>
      </c>
      <c r="D243" s="1" t="s">
        <v>62</v>
      </c>
      <c r="E243" s="1" t="s">
        <v>123</v>
      </c>
      <c r="F243" s="1" t="s">
        <v>18</v>
      </c>
      <c r="G243" s="6">
        <v>44697</v>
      </c>
      <c r="H243" s="1">
        <v>2007</v>
      </c>
      <c r="I243" t="s">
        <v>77</v>
      </c>
      <c r="J243" s="1">
        <v>9</v>
      </c>
      <c r="K243" s="1" t="s">
        <v>20</v>
      </c>
      <c r="L243" s="1" t="s">
        <v>69</v>
      </c>
      <c r="M243" s="1">
        <v>5.8</v>
      </c>
      <c r="N243" s="1">
        <v>30.04</v>
      </c>
      <c r="O243" s="1">
        <v>18206000</v>
      </c>
      <c r="P243" t="s">
        <v>2282</v>
      </c>
    </row>
    <row r="244" spans="1:16" x14ac:dyDescent="0.3">
      <c r="A244" s="1" t="s">
        <v>624</v>
      </c>
      <c r="B244" s="1" t="s">
        <v>14</v>
      </c>
      <c r="C244" s="1" t="s">
        <v>625</v>
      </c>
      <c r="D244" s="1" t="s">
        <v>31</v>
      </c>
      <c r="E244" s="1" t="s">
        <v>123</v>
      </c>
      <c r="F244" s="1" t="s">
        <v>51</v>
      </c>
      <c r="G244" s="6">
        <v>43485</v>
      </c>
      <c r="H244" s="1">
        <v>2013</v>
      </c>
      <c r="I244" t="s">
        <v>19</v>
      </c>
      <c r="J244" s="1">
        <v>9</v>
      </c>
      <c r="K244" s="1" t="s">
        <v>20</v>
      </c>
      <c r="L244" s="1" t="s">
        <v>41</v>
      </c>
      <c r="M244" s="1">
        <v>8.8000000000000007</v>
      </c>
      <c r="N244" s="1">
        <v>1</v>
      </c>
      <c r="O244" s="1">
        <v>58113000</v>
      </c>
      <c r="P244" t="s">
        <v>2282</v>
      </c>
    </row>
    <row r="245" spans="1:16" hidden="1" x14ac:dyDescent="0.3">
      <c r="A245" s="1" t="s">
        <v>626</v>
      </c>
      <c r="B245" s="1" t="s">
        <v>37</v>
      </c>
      <c r="C245" s="1" t="s">
        <v>627</v>
      </c>
      <c r="D245" s="1" t="s">
        <v>62</v>
      </c>
      <c r="E245" s="1" t="s">
        <v>628</v>
      </c>
      <c r="F245" s="1" t="s">
        <v>51</v>
      </c>
      <c r="G245" s="6">
        <v>44613</v>
      </c>
      <c r="H245" s="1">
        <v>2010</v>
      </c>
      <c r="I245" t="s">
        <v>89</v>
      </c>
      <c r="J245" s="1">
        <v>158</v>
      </c>
      <c r="K245" s="1" t="s">
        <v>28</v>
      </c>
      <c r="L245" s="1" t="s">
        <v>21</v>
      </c>
      <c r="M245" s="1">
        <v>4.2</v>
      </c>
      <c r="N245" s="1">
        <v>3.87</v>
      </c>
      <c r="O245" s="1">
        <v>13604000</v>
      </c>
      <c r="P245" t="s">
        <v>2281</v>
      </c>
    </row>
    <row r="246" spans="1:16" hidden="1" x14ac:dyDescent="0.3">
      <c r="A246" s="1" t="s">
        <v>629</v>
      </c>
      <c r="B246" s="1" t="s">
        <v>37</v>
      </c>
      <c r="C246" s="1" t="s">
        <v>630</v>
      </c>
      <c r="D246" s="1" t="s">
        <v>62</v>
      </c>
      <c r="E246" s="1" t="s">
        <v>111</v>
      </c>
      <c r="F246" s="1" t="s">
        <v>158</v>
      </c>
      <c r="G246" s="6">
        <v>44080</v>
      </c>
      <c r="H246" s="1">
        <v>2022</v>
      </c>
      <c r="I246" t="s">
        <v>34</v>
      </c>
      <c r="J246" s="1">
        <v>103</v>
      </c>
      <c r="K246" s="1" t="s">
        <v>28</v>
      </c>
      <c r="L246" s="1" t="s">
        <v>21</v>
      </c>
      <c r="M246" s="1">
        <v>2.2999999999999998</v>
      </c>
      <c r="N246" s="1">
        <v>42.46</v>
      </c>
      <c r="O246" s="1">
        <v>33876000</v>
      </c>
      <c r="P246" t="s">
        <v>2281</v>
      </c>
    </row>
    <row r="247" spans="1:16" hidden="1" x14ac:dyDescent="0.3">
      <c r="A247" s="1" t="s">
        <v>631</v>
      </c>
      <c r="B247" s="1" t="s">
        <v>37</v>
      </c>
      <c r="C247" s="1" t="s">
        <v>632</v>
      </c>
      <c r="D247" s="1" t="s">
        <v>24</v>
      </c>
      <c r="E247" s="1" t="s">
        <v>633</v>
      </c>
      <c r="F247" s="1" t="s">
        <v>76</v>
      </c>
      <c r="G247" s="6">
        <v>42259</v>
      </c>
      <c r="H247" s="1">
        <v>2003</v>
      </c>
      <c r="I247" t="s">
        <v>55</v>
      </c>
      <c r="J247" s="1">
        <v>80</v>
      </c>
      <c r="K247" s="1" t="s">
        <v>28</v>
      </c>
      <c r="L247" s="1" t="s">
        <v>35</v>
      </c>
      <c r="M247" s="1">
        <v>5.9</v>
      </c>
      <c r="N247" s="1">
        <v>123.52</v>
      </c>
      <c r="O247" s="1">
        <v>58706000</v>
      </c>
      <c r="P247" t="s">
        <v>2282</v>
      </c>
    </row>
    <row r="248" spans="1:16" hidden="1" x14ac:dyDescent="0.3">
      <c r="A248" s="1" t="s">
        <v>634</v>
      </c>
      <c r="B248" s="1" t="s">
        <v>37</v>
      </c>
      <c r="C248" s="1" t="s">
        <v>635</v>
      </c>
      <c r="D248" s="1" t="s">
        <v>39</v>
      </c>
      <c r="E248" s="1" t="s">
        <v>636</v>
      </c>
      <c r="F248" s="1" t="s">
        <v>45</v>
      </c>
      <c r="G248" s="6">
        <v>44720</v>
      </c>
      <c r="H248" s="1">
        <v>1992</v>
      </c>
      <c r="I248" t="s">
        <v>34</v>
      </c>
      <c r="J248" s="1">
        <v>131</v>
      </c>
      <c r="K248" s="1" t="s">
        <v>28</v>
      </c>
      <c r="L248" s="1" t="s">
        <v>21</v>
      </c>
      <c r="M248" s="1">
        <v>8.9</v>
      </c>
      <c r="N248" s="1">
        <v>143.6</v>
      </c>
      <c r="O248" s="1">
        <v>4221000</v>
      </c>
      <c r="P248" t="s">
        <v>2281</v>
      </c>
    </row>
    <row r="249" spans="1:16" hidden="1" x14ac:dyDescent="0.3">
      <c r="A249" s="1" t="s">
        <v>637</v>
      </c>
      <c r="B249" s="1" t="s">
        <v>37</v>
      </c>
      <c r="C249" s="1" t="s">
        <v>638</v>
      </c>
      <c r="D249" s="1" t="s">
        <v>62</v>
      </c>
      <c r="E249" s="1" t="s">
        <v>40</v>
      </c>
      <c r="F249" s="1" t="s">
        <v>45</v>
      </c>
      <c r="G249" s="6">
        <v>42204</v>
      </c>
      <c r="H249" s="1">
        <v>1993</v>
      </c>
      <c r="I249" t="s">
        <v>27</v>
      </c>
      <c r="J249" s="1">
        <v>173</v>
      </c>
      <c r="K249" s="1" t="s">
        <v>28</v>
      </c>
      <c r="L249" s="1" t="s">
        <v>41</v>
      </c>
      <c r="M249" s="1">
        <v>5.6</v>
      </c>
      <c r="N249" s="1">
        <v>122.47</v>
      </c>
      <c r="O249" s="1">
        <v>38946000</v>
      </c>
      <c r="P249" t="s">
        <v>2282</v>
      </c>
    </row>
    <row r="250" spans="1:16" hidden="1" x14ac:dyDescent="0.3">
      <c r="A250" s="1" t="s">
        <v>639</v>
      </c>
      <c r="B250" s="1" t="s">
        <v>37</v>
      </c>
      <c r="C250" s="1" t="s">
        <v>640</v>
      </c>
      <c r="D250" s="1" t="s">
        <v>72</v>
      </c>
      <c r="E250" s="1" t="s">
        <v>641</v>
      </c>
      <c r="F250" s="1" t="s">
        <v>158</v>
      </c>
      <c r="G250" s="6">
        <v>42544</v>
      </c>
      <c r="H250" s="1">
        <v>1990</v>
      </c>
      <c r="I250" t="s">
        <v>55</v>
      </c>
      <c r="J250" s="1">
        <v>103</v>
      </c>
      <c r="K250" s="1" t="s">
        <v>28</v>
      </c>
      <c r="L250" s="1" t="s">
        <v>41</v>
      </c>
      <c r="M250" s="1">
        <v>1.7</v>
      </c>
      <c r="N250" s="1">
        <v>62.18</v>
      </c>
      <c r="O250" s="1">
        <v>15297000</v>
      </c>
      <c r="P250" t="s">
        <v>2282</v>
      </c>
    </row>
    <row r="251" spans="1:16" hidden="1" x14ac:dyDescent="0.3">
      <c r="A251" s="1" t="s">
        <v>642</v>
      </c>
      <c r="B251" s="1" t="s">
        <v>37</v>
      </c>
      <c r="C251" s="1" t="s">
        <v>643</v>
      </c>
      <c r="D251" s="1" t="s">
        <v>16</v>
      </c>
      <c r="E251" s="1" t="s">
        <v>546</v>
      </c>
      <c r="F251" s="1" t="s">
        <v>158</v>
      </c>
      <c r="G251" s="6">
        <v>43314</v>
      </c>
      <c r="H251" s="1">
        <v>2013</v>
      </c>
      <c r="I251" t="s">
        <v>19</v>
      </c>
      <c r="J251" s="1">
        <v>152</v>
      </c>
      <c r="K251" s="1" t="s">
        <v>28</v>
      </c>
      <c r="L251" s="1" t="s">
        <v>46</v>
      </c>
      <c r="M251" s="1">
        <v>9.6999999999999993</v>
      </c>
      <c r="N251" s="1">
        <v>145.46</v>
      </c>
      <c r="O251" s="1">
        <v>8223000</v>
      </c>
      <c r="P251" t="s">
        <v>2281</v>
      </c>
    </row>
    <row r="252" spans="1:16" x14ac:dyDescent="0.3">
      <c r="A252" s="1" t="s">
        <v>644</v>
      </c>
      <c r="B252" s="1" t="s">
        <v>14</v>
      </c>
      <c r="C252" s="1" t="s">
        <v>645</v>
      </c>
      <c r="D252" s="1" t="s">
        <v>72</v>
      </c>
      <c r="E252" s="1" t="s">
        <v>63</v>
      </c>
      <c r="F252" s="1" t="s">
        <v>76</v>
      </c>
      <c r="G252" s="6">
        <v>44733</v>
      </c>
      <c r="H252" s="1">
        <v>1993</v>
      </c>
      <c r="I252" t="s">
        <v>27</v>
      </c>
      <c r="J252" s="1">
        <v>5</v>
      </c>
      <c r="K252" s="1" t="s">
        <v>20</v>
      </c>
      <c r="L252" s="1" t="s">
        <v>21</v>
      </c>
      <c r="M252" s="1">
        <v>9.5</v>
      </c>
      <c r="N252" s="1">
        <v>76.92</v>
      </c>
      <c r="O252" s="1">
        <v>39983000</v>
      </c>
      <c r="P252" t="s">
        <v>2281</v>
      </c>
    </row>
    <row r="253" spans="1:16" hidden="1" x14ac:dyDescent="0.3">
      <c r="A253" s="1" t="s">
        <v>646</v>
      </c>
      <c r="B253" s="1" t="s">
        <v>37</v>
      </c>
      <c r="C253" s="1" t="s">
        <v>647</v>
      </c>
      <c r="D253" s="1" t="s">
        <v>39</v>
      </c>
      <c r="E253" s="1" t="s">
        <v>40</v>
      </c>
      <c r="F253" s="1" t="s">
        <v>51</v>
      </c>
      <c r="G253" s="6">
        <v>43348</v>
      </c>
      <c r="H253" s="1">
        <v>2015</v>
      </c>
      <c r="I253" t="s">
        <v>55</v>
      </c>
      <c r="J253" s="1">
        <v>160</v>
      </c>
      <c r="K253" s="1" t="s">
        <v>28</v>
      </c>
      <c r="L253" s="1" t="s">
        <v>21</v>
      </c>
      <c r="M253" s="1">
        <v>5.4</v>
      </c>
      <c r="N253" s="1">
        <v>32.369999999999997</v>
      </c>
      <c r="O253" s="1">
        <v>4877000</v>
      </c>
      <c r="P253" t="s">
        <v>2281</v>
      </c>
    </row>
    <row r="254" spans="1:16" x14ac:dyDescent="0.3">
      <c r="A254" s="1" t="s">
        <v>648</v>
      </c>
      <c r="B254" s="1" t="s">
        <v>14</v>
      </c>
      <c r="C254" s="1" t="s">
        <v>649</v>
      </c>
      <c r="D254" s="1" t="s">
        <v>49</v>
      </c>
      <c r="E254" s="1" t="s">
        <v>123</v>
      </c>
      <c r="F254" s="1" t="s">
        <v>158</v>
      </c>
      <c r="G254" s="6">
        <v>43169</v>
      </c>
      <c r="H254" s="1">
        <v>1996</v>
      </c>
      <c r="I254" t="s">
        <v>34</v>
      </c>
      <c r="J254" s="1">
        <v>1</v>
      </c>
      <c r="K254" s="1" t="s">
        <v>20</v>
      </c>
      <c r="L254" s="1" t="s">
        <v>41</v>
      </c>
      <c r="M254" s="1">
        <v>9</v>
      </c>
      <c r="N254" s="1">
        <v>28.26</v>
      </c>
      <c r="O254" s="1">
        <v>96417000</v>
      </c>
      <c r="P254" t="s">
        <v>2281</v>
      </c>
    </row>
    <row r="255" spans="1:16" hidden="1" x14ac:dyDescent="0.3">
      <c r="A255" s="1" t="s">
        <v>650</v>
      </c>
      <c r="B255" s="1" t="s">
        <v>37</v>
      </c>
      <c r="C255" s="1" t="s">
        <v>651</v>
      </c>
      <c r="D255" s="1" t="s">
        <v>16</v>
      </c>
      <c r="E255" s="1" t="s">
        <v>652</v>
      </c>
      <c r="F255" s="1" t="s">
        <v>158</v>
      </c>
      <c r="G255" s="6">
        <v>43861</v>
      </c>
      <c r="H255" s="1">
        <v>2000</v>
      </c>
      <c r="I255" t="s">
        <v>34</v>
      </c>
      <c r="J255" s="1">
        <v>122</v>
      </c>
      <c r="K255" s="1" t="s">
        <v>28</v>
      </c>
      <c r="L255" s="1" t="s">
        <v>46</v>
      </c>
      <c r="M255" s="1">
        <v>6.5</v>
      </c>
      <c r="N255" s="1">
        <v>69.739999999999995</v>
      </c>
      <c r="O255" s="1">
        <v>70298000</v>
      </c>
      <c r="P255" t="s">
        <v>2282</v>
      </c>
    </row>
    <row r="256" spans="1:16" hidden="1" x14ac:dyDescent="0.3">
      <c r="A256" s="1" t="s">
        <v>653</v>
      </c>
      <c r="B256" s="1" t="s">
        <v>37</v>
      </c>
      <c r="C256" s="1" t="s">
        <v>654</v>
      </c>
      <c r="D256" s="1" t="s">
        <v>16</v>
      </c>
      <c r="E256" s="1" t="s">
        <v>655</v>
      </c>
      <c r="F256" s="1" t="s">
        <v>76</v>
      </c>
      <c r="G256" s="6">
        <v>44618</v>
      </c>
      <c r="H256" s="1">
        <v>2004</v>
      </c>
      <c r="I256" t="s">
        <v>27</v>
      </c>
      <c r="J256" s="1">
        <v>132</v>
      </c>
      <c r="K256" s="1" t="s">
        <v>28</v>
      </c>
      <c r="L256" s="1" t="s">
        <v>46</v>
      </c>
      <c r="M256" s="1">
        <v>3.3</v>
      </c>
      <c r="N256" s="1">
        <v>54.44</v>
      </c>
      <c r="O256" s="1">
        <v>70734000</v>
      </c>
      <c r="P256" t="s">
        <v>2281</v>
      </c>
    </row>
    <row r="257" spans="1:16" hidden="1" x14ac:dyDescent="0.3">
      <c r="A257" s="1" t="s">
        <v>656</v>
      </c>
      <c r="B257" s="1" t="s">
        <v>37</v>
      </c>
      <c r="C257" s="1" t="s">
        <v>657</v>
      </c>
      <c r="D257" s="1" t="s">
        <v>24</v>
      </c>
      <c r="E257" s="1" t="s">
        <v>72</v>
      </c>
      <c r="F257" s="1" t="s">
        <v>26</v>
      </c>
      <c r="G257" s="6">
        <v>43018</v>
      </c>
      <c r="H257" s="1">
        <v>2010</v>
      </c>
      <c r="I257" t="s">
        <v>55</v>
      </c>
      <c r="J257" s="1">
        <v>159</v>
      </c>
      <c r="K257" s="1" t="s">
        <v>28</v>
      </c>
      <c r="L257" s="1" t="s">
        <v>52</v>
      </c>
      <c r="M257" s="1">
        <v>7</v>
      </c>
      <c r="N257" s="1">
        <v>87.58</v>
      </c>
      <c r="O257" s="1">
        <v>41746000</v>
      </c>
      <c r="P257" t="s">
        <v>2282</v>
      </c>
    </row>
    <row r="258" spans="1:16" x14ac:dyDescent="0.3">
      <c r="A258" s="1" t="s">
        <v>658</v>
      </c>
      <c r="B258" s="1" t="s">
        <v>14</v>
      </c>
      <c r="C258" s="1" t="s">
        <v>659</v>
      </c>
      <c r="D258" s="1" t="s">
        <v>39</v>
      </c>
      <c r="E258" s="1" t="s">
        <v>660</v>
      </c>
      <c r="F258" s="1" t="s">
        <v>18</v>
      </c>
      <c r="G258" s="6">
        <v>42926</v>
      </c>
      <c r="H258" s="1">
        <v>1996</v>
      </c>
      <c r="I258" t="s">
        <v>89</v>
      </c>
      <c r="J258" s="1">
        <v>3</v>
      </c>
      <c r="K258" s="1" t="s">
        <v>20</v>
      </c>
      <c r="L258" s="1" t="s">
        <v>21</v>
      </c>
      <c r="M258" s="1">
        <v>3.3</v>
      </c>
      <c r="N258" s="1">
        <v>79.41</v>
      </c>
      <c r="O258" s="1">
        <v>93907000</v>
      </c>
      <c r="P258" t="s">
        <v>2281</v>
      </c>
    </row>
    <row r="259" spans="1:16" hidden="1" x14ac:dyDescent="0.3">
      <c r="A259" s="1" t="s">
        <v>661</v>
      </c>
      <c r="B259" s="1" t="s">
        <v>37</v>
      </c>
      <c r="C259" s="1" t="s">
        <v>662</v>
      </c>
      <c r="D259" s="1" t="s">
        <v>24</v>
      </c>
      <c r="E259" s="1" t="s">
        <v>83</v>
      </c>
      <c r="F259" s="1" t="s">
        <v>18</v>
      </c>
      <c r="G259" s="6">
        <v>42947</v>
      </c>
      <c r="H259" s="1">
        <v>1993</v>
      </c>
      <c r="I259" t="s">
        <v>19</v>
      </c>
      <c r="J259" s="1">
        <v>150</v>
      </c>
      <c r="K259" s="1" t="s">
        <v>28</v>
      </c>
      <c r="L259" s="1" t="s">
        <v>21</v>
      </c>
      <c r="M259" s="1">
        <v>3.9</v>
      </c>
      <c r="N259" s="1">
        <v>46.95</v>
      </c>
      <c r="O259" s="1">
        <v>52620000</v>
      </c>
      <c r="P259" t="s">
        <v>2282</v>
      </c>
    </row>
    <row r="260" spans="1:16" hidden="1" x14ac:dyDescent="0.3">
      <c r="A260" s="1" t="s">
        <v>663</v>
      </c>
      <c r="B260" s="1" t="s">
        <v>37</v>
      </c>
      <c r="C260" s="1" t="s">
        <v>664</v>
      </c>
      <c r="D260" s="1" t="s">
        <v>62</v>
      </c>
      <c r="E260" s="1" t="s">
        <v>665</v>
      </c>
      <c r="F260" s="1" t="s">
        <v>76</v>
      </c>
      <c r="G260" s="6">
        <v>45205</v>
      </c>
      <c r="H260" s="1">
        <v>2007</v>
      </c>
      <c r="I260" t="s">
        <v>77</v>
      </c>
      <c r="J260" s="1">
        <v>60</v>
      </c>
      <c r="K260" s="1" t="s">
        <v>28</v>
      </c>
      <c r="L260" s="1" t="s">
        <v>52</v>
      </c>
      <c r="M260" s="1">
        <v>4.0999999999999996</v>
      </c>
      <c r="N260" s="1">
        <v>116.5</v>
      </c>
      <c r="O260" s="1">
        <v>56364000</v>
      </c>
      <c r="P260" t="s">
        <v>2281</v>
      </c>
    </row>
    <row r="261" spans="1:16" x14ac:dyDescent="0.3">
      <c r="A261" s="1" t="s">
        <v>666</v>
      </c>
      <c r="B261" s="1" t="s">
        <v>14</v>
      </c>
      <c r="C261" s="1" t="s">
        <v>667</v>
      </c>
      <c r="D261" s="1" t="s">
        <v>72</v>
      </c>
      <c r="E261" s="1" t="s">
        <v>668</v>
      </c>
      <c r="F261" s="1" t="s">
        <v>45</v>
      </c>
      <c r="G261" s="6">
        <v>42388</v>
      </c>
      <c r="H261" s="1">
        <v>1990</v>
      </c>
      <c r="I261" t="s">
        <v>77</v>
      </c>
      <c r="J261" s="1">
        <v>4</v>
      </c>
      <c r="K261" s="1" t="s">
        <v>20</v>
      </c>
      <c r="L261" s="1" t="s">
        <v>41</v>
      </c>
      <c r="M261" s="1">
        <v>4.0999999999999996</v>
      </c>
      <c r="N261" s="1">
        <v>91.58</v>
      </c>
      <c r="O261" s="1">
        <v>86848000</v>
      </c>
      <c r="P261" t="s">
        <v>2281</v>
      </c>
    </row>
    <row r="262" spans="1:16" hidden="1" x14ac:dyDescent="0.3">
      <c r="A262" s="1" t="s">
        <v>669</v>
      </c>
      <c r="B262" s="1" t="s">
        <v>37</v>
      </c>
      <c r="C262" s="1" t="s">
        <v>670</v>
      </c>
      <c r="D262" s="1" t="s">
        <v>72</v>
      </c>
      <c r="E262" s="1" t="s">
        <v>111</v>
      </c>
      <c r="F262" s="1" t="s">
        <v>158</v>
      </c>
      <c r="G262" s="6">
        <v>43774</v>
      </c>
      <c r="H262" s="1">
        <v>1991</v>
      </c>
      <c r="I262" t="s">
        <v>27</v>
      </c>
      <c r="J262" s="1">
        <v>132</v>
      </c>
      <c r="K262" s="1" t="s">
        <v>28</v>
      </c>
      <c r="L262" s="1" t="s">
        <v>35</v>
      </c>
      <c r="M262" s="1">
        <v>5.5</v>
      </c>
      <c r="N262" s="1">
        <v>127.26</v>
      </c>
      <c r="O262" s="1">
        <v>83541000</v>
      </c>
      <c r="P262" t="s">
        <v>2281</v>
      </c>
    </row>
    <row r="263" spans="1:16" hidden="1" x14ac:dyDescent="0.3">
      <c r="A263" s="1" t="s">
        <v>671</v>
      </c>
      <c r="B263" s="1" t="s">
        <v>37</v>
      </c>
      <c r="C263" s="1" t="s">
        <v>672</v>
      </c>
      <c r="D263" s="1" t="s">
        <v>49</v>
      </c>
      <c r="E263" s="1" t="s">
        <v>290</v>
      </c>
      <c r="F263" s="1" t="s">
        <v>158</v>
      </c>
      <c r="G263" s="6">
        <v>44741</v>
      </c>
      <c r="H263" s="1">
        <v>2000</v>
      </c>
      <c r="I263" t="s">
        <v>77</v>
      </c>
      <c r="J263" s="1">
        <v>138</v>
      </c>
      <c r="K263" s="1" t="s">
        <v>28</v>
      </c>
      <c r="L263" s="1" t="s">
        <v>21</v>
      </c>
      <c r="M263" s="1">
        <v>8.1</v>
      </c>
      <c r="N263" s="1">
        <v>42.57</v>
      </c>
      <c r="O263" s="1">
        <v>52646000</v>
      </c>
      <c r="P263" t="s">
        <v>2281</v>
      </c>
    </row>
    <row r="264" spans="1:16" hidden="1" x14ac:dyDescent="0.3">
      <c r="A264" s="1" t="s">
        <v>673</v>
      </c>
      <c r="B264" s="1" t="s">
        <v>37</v>
      </c>
      <c r="C264" s="1" t="s">
        <v>674</v>
      </c>
      <c r="D264" s="1" t="s">
        <v>72</v>
      </c>
      <c r="E264" s="1" t="s">
        <v>32</v>
      </c>
      <c r="F264" s="1" t="s">
        <v>158</v>
      </c>
      <c r="G264" s="6">
        <v>42279</v>
      </c>
      <c r="H264" s="1">
        <v>1998</v>
      </c>
      <c r="I264" t="s">
        <v>19</v>
      </c>
      <c r="J264" s="1">
        <v>146</v>
      </c>
      <c r="K264" s="1" t="s">
        <v>28</v>
      </c>
      <c r="L264" s="1" t="s">
        <v>52</v>
      </c>
      <c r="M264" s="1">
        <v>7.9</v>
      </c>
      <c r="N264" s="1">
        <v>17.55</v>
      </c>
      <c r="O264" s="1">
        <v>96494000</v>
      </c>
      <c r="P264" t="s">
        <v>2282</v>
      </c>
    </row>
    <row r="265" spans="1:16" hidden="1" x14ac:dyDescent="0.3">
      <c r="A265" s="1" t="s">
        <v>675</v>
      </c>
      <c r="B265" s="1" t="s">
        <v>37</v>
      </c>
      <c r="C265" s="1" t="s">
        <v>676</v>
      </c>
      <c r="D265" s="1" t="s">
        <v>72</v>
      </c>
      <c r="E265" s="1" t="s">
        <v>111</v>
      </c>
      <c r="F265" s="1" t="s">
        <v>26</v>
      </c>
      <c r="G265" s="6">
        <v>42899</v>
      </c>
      <c r="H265" s="1">
        <v>1998</v>
      </c>
      <c r="I265" t="s">
        <v>34</v>
      </c>
      <c r="J265" s="1">
        <v>106</v>
      </c>
      <c r="K265" s="1" t="s">
        <v>28</v>
      </c>
      <c r="L265" s="1" t="s">
        <v>35</v>
      </c>
      <c r="M265" s="1">
        <v>8.9</v>
      </c>
      <c r="N265" s="1">
        <v>99.69</v>
      </c>
      <c r="O265" s="1">
        <v>88174000</v>
      </c>
      <c r="P265" t="s">
        <v>2282</v>
      </c>
    </row>
    <row r="266" spans="1:16" x14ac:dyDescent="0.3">
      <c r="A266" s="1" t="s">
        <v>677</v>
      </c>
      <c r="B266" s="1" t="s">
        <v>14</v>
      </c>
      <c r="C266" s="1" t="s">
        <v>678</v>
      </c>
      <c r="D266" s="1" t="s">
        <v>49</v>
      </c>
      <c r="E266" s="1" t="s">
        <v>40</v>
      </c>
      <c r="F266" s="1" t="s">
        <v>76</v>
      </c>
      <c r="G266" s="6">
        <v>43742</v>
      </c>
      <c r="H266" s="1">
        <v>2000</v>
      </c>
      <c r="I266" t="s">
        <v>34</v>
      </c>
      <c r="J266" s="1">
        <v>10</v>
      </c>
      <c r="K266" s="1" t="s">
        <v>20</v>
      </c>
      <c r="L266" s="1" t="s">
        <v>46</v>
      </c>
      <c r="M266" s="1">
        <v>9.5</v>
      </c>
      <c r="N266" s="1">
        <v>61.48</v>
      </c>
      <c r="O266" s="1">
        <v>42976000</v>
      </c>
      <c r="P266" t="s">
        <v>2281</v>
      </c>
    </row>
    <row r="267" spans="1:16" x14ac:dyDescent="0.3">
      <c r="A267" s="1" t="s">
        <v>679</v>
      </c>
      <c r="B267" s="1" t="s">
        <v>14</v>
      </c>
      <c r="C267" s="1" t="s">
        <v>680</v>
      </c>
      <c r="D267" s="1" t="s">
        <v>24</v>
      </c>
      <c r="E267" s="1" t="s">
        <v>354</v>
      </c>
      <c r="F267" s="1" t="s">
        <v>76</v>
      </c>
      <c r="G267" s="6">
        <v>45246</v>
      </c>
      <c r="H267" s="1">
        <v>2000</v>
      </c>
      <c r="I267" t="s">
        <v>55</v>
      </c>
      <c r="J267" s="1">
        <v>7</v>
      </c>
      <c r="K267" s="1" t="s">
        <v>20</v>
      </c>
      <c r="L267" s="1" t="s">
        <v>35</v>
      </c>
      <c r="M267" s="1">
        <v>2.7</v>
      </c>
      <c r="N267" s="1">
        <v>138.55000000000001</v>
      </c>
      <c r="O267" s="1">
        <v>78595000</v>
      </c>
      <c r="P267" t="s">
        <v>2282</v>
      </c>
    </row>
    <row r="268" spans="1:16" x14ac:dyDescent="0.3">
      <c r="A268" s="1" t="s">
        <v>681</v>
      </c>
      <c r="B268" s="1" t="s">
        <v>14</v>
      </c>
      <c r="C268" s="1" t="s">
        <v>682</v>
      </c>
      <c r="D268" s="1" t="s">
        <v>39</v>
      </c>
      <c r="E268" s="1" t="s">
        <v>92</v>
      </c>
      <c r="F268" s="1" t="s">
        <v>76</v>
      </c>
      <c r="G268" s="6">
        <v>44703</v>
      </c>
      <c r="H268" s="1">
        <v>2010</v>
      </c>
      <c r="I268" t="s">
        <v>77</v>
      </c>
      <c r="J268" s="1">
        <v>9</v>
      </c>
      <c r="K268" s="1" t="s">
        <v>20</v>
      </c>
      <c r="L268" s="1" t="s">
        <v>52</v>
      </c>
      <c r="M268" s="1">
        <v>5.0999999999999996</v>
      </c>
      <c r="N268" s="1">
        <v>133.31</v>
      </c>
      <c r="O268" s="1">
        <v>84969000</v>
      </c>
      <c r="P268" t="s">
        <v>2281</v>
      </c>
    </row>
    <row r="269" spans="1:16" hidden="1" x14ac:dyDescent="0.3">
      <c r="A269" s="1" t="s">
        <v>683</v>
      </c>
      <c r="B269" s="1" t="s">
        <v>37</v>
      </c>
      <c r="C269" s="1" t="s">
        <v>684</v>
      </c>
      <c r="D269" s="1" t="s">
        <v>16</v>
      </c>
      <c r="E269" s="1" t="s">
        <v>32</v>
      </c>
      <c r="F269" s="1" t="s">
        <v>51</v>
      </c>
      <c r="G269" s="6">
        <v>43155</v>
      </c>
      <c r="H269" s="1">
        <v>2003</v>
      </c>
      <c r="I269" t="s">
        <v>77</v>
      </c>
      <c r="J269" s="1">
        <v>95</v>
      </c>
      <c r="K269" s="1" t="s">
        <v>28</v>
      </c>
      <c r="L269" s="1" t="s">
        <v>69</v>
      </c>
      <c r="M269" s="1">
        <v>2.9</v>
      </c>
      <c r="N269" s="1">
        <v>128.66</v>
      </c>
      <c r="O269" s="1">
        <v>73910000</v>
      </c>
      <c r="P269" t="s">
        <v>2282</v>
      </c>
    </row>
    <row r="270" spans="1:16" hidden="1" x14ac:dyDescent="0.3">
      <c r="A270" s="1" t="s">
        <v>685</v>
      </c>
      <c r="B270" s="1" t="s">
        <v>37</v>
      </c>
      <c r="C270" s="1" t="s">
        <v>686</v>
      </c>
      <c r="D270" s="1" t="s">
        <v>16</v>
      </c>
      <c r="E270" s="1" t="s">
        <v>40</v>
      </c>
      <c r="F270" s="1" t="s">
        <v>18</v>
      </c>
      <c r="G270" s="6">
        <v>42252</v>
      </c>
      <c r="H270" s="1">
        <v>2007</v>
      </c>
      <c r="I270" t="s">
        <v>77</v>
      </c>
      <c r="J270" s="1">
        <v>174</v>
      </c>
      <c r="K270" s="1" t="s">
        <v>28</v>
      </c>
      <c r="L270" s="1" t="s">
        <v>21</v>
      </c>
      <c r="M270" s="1">
        <v>2.4</v>
      </c>
      <c r="N270" s="1">
        <v>124.61</v>
      </c>
      <c r="O270" s="1">
        <v>40810000</v>
      </c>
      <c r="P270" t="s">
        <v>2281</v>
      </c>
    </row>
    <row r="271" spans="1:16" x14ac:dyDescent="0.3">
      <c r="A271" s="1" t="s">
        <v>687</v>
      </c>
      <c r="B271" s="1" t="s">
        <v>14</v>
      </c>
      <c r="C271" s="1" t="s">
        <v>688</v>
      </c>
      <c r="D271" s="1" t="s">
        <v>16</v>
      </c>
      <c r="E271" s="1" t="s">
        <v>72</v>
      </c>
      <c r="F271" s="1" t="s">
        <v>45</v>
      </c>
      <c r="G271" s="6">
        <v>42780</v>
      </c>
      <c r="H271" s="1">
        <v>2010</v>
      </c>
      <c r="I271" t="s">
        <v>19</v>
      </c>
      <c r="J271" s="1">
        <v>3</v>
      </c>
      <c r="K271" s="1" t="s">
        <v>20</v>
      </c>
      <c r="L271" s="1" t="s">
        <v>35</v>
      </c>
      <c r="M271" s="1">
        <v>6</v>
      </c>
      <c r="N271" s="1">
        <v>148.4</v>
      </c>
      <c r="O271" s="1">
        <v>51911000</v>
      </c>
      <c r="P271" t="s">
        <v>2281</v>
      </c>
    </row>
    <row r="272" spans="1:16" hidden="1" x14ac:dyDescent="0.3">
      <c r="A272" s="1" t="s">
        <v>689</v>
      </c>
      <c r="B272" s="1" t="s">
        <v>37</v>
      </c>
      <c r="C272" s="1" t="s">
        <v>690</v>
      </c>
      <c r="D272" s="1" t="s">
        <v>72</v>
      </c>
      <c r="E272" s="1" t="s">
        <v>63</v>
      </c>
      <c r="F272" s="1" t="s">
        <v>76</v>
      </c>
      <c r="G272" s="6">
        <v>43793</v>
      </c>
      <c r="H272" s="1">
        <v>2016</v>
      </c>
      <c r="I272" t="s">
        <v>55</v>
      </c>
      <c r="J272" s="1">
        <v>67</v>
      </c>
      <c r="K272" s="1" t="s">
        <v>28</v>
      </c>
      <c r="L272" s="1" t="s">
        <v>41</v>
      </c>
      <c r="M272" s="1">
        <v>9.3000000000000007</v>
      </c>
      <c r="N272" s="1">
        <v>43.09</v>
      </c>
      <c r="O272" s="1">
        <v>38263000</v>
      </c>
      <c r="P272" t="s">
        <v>2281</v>
      </c>
    </row>
    <row r="273" spans="1:16" x14ac:dyDescent="0.3">
      <c r="A273" s="1" t="s">
        <v>691</v>
      </c>
      <c r="B273" s="1" t="s">
        <v>14</v>
      </c>
      <c r="C273" s="1" t="s">
        <v>692</v>
      </c>
      <c r="D273" s="1" t="s">
        <v>49</v>
      </c>
      <c r="E273" s="1" t="s">
        <v>106</v>
      </c>
      <c r="F273" s="1" t="s">
        <v>18</v>
      </c>
      <c r="G273" s="6">
        <v>45144</v>
      </c>
      <c r="H273" s="1">
        <v>2006</v>
      </c>
      <c r="I273" t="s">
        <v>77</v>
      </c>
      <c r="J273" s="1">
        <v>5</v>
      </c>
      <c r="K273" s="1" t="s">
        <v>20</v>
      </c>
      <c r="L273" s="1" t="s">
        <v>52</v>
      </c>
      <c r="M273" s="1">
        <v>4.7</v>
      </c>
      <c r="N273" s="1">
        <v>66.430000000000007</v>
      </c>
      <c r="O273" s="1">
        <v>53108000</v>
      </c>
      <c r="P273" t="s">
        <v>2281</v>
      </c>
    </row>
    <row r="274" spans="1:16" hidden="1" x14ac:dyDescent="0.3">
      <c r="A274" s="1" t="s">
        <v>693</v>
      </c>
      <c r="B274" s="1" t="s">
        <v>37</v>
      </c>
      <c r="C274" s="1" t="s">
        <v>694</v>
      </c>
      <c r="D274" s="1" t="s">
        <v>72</v>
      </c>
      <c r="E274" s="1" t="s">
        <v>364</v>
      </c>
      <c r="F274" s="1" t="s">
        <v>158</v>
      </c>
      <c r="G274" s="6">
        <v>43236</v>
      </c>
      <c r="H274" s="1">
        <v>2009</v>
      </c>
      <c r="I274" t="s">
        <v>77</v>
      </c>
      <c r="J274" s="1">
        <v>98</v>
      </c>
      <c r="K274" s="1" t="s">
        <v>28</v>
      </c>
      <c r="L274" s="1" t="s">
        <v>21</v>
      </c>
      <c r="M274" s="1">
        <v>5.4</v>
      </c>
      <c r="N274" s="1">
        <v>80.8</v>
      </c>
      <c r="O274" s="1">
        <v>17434000</v>
      </c>
      <c r="P274" t="s">
        <v>2281</v>
      </c>
    </row>
    <row r="275" spans="1:16" x14ac:dyDescent="0.3">
      <c r="A275" s="1" t="s">
        <v>695</v>
      </c>
      <c r="B275" s="1" t="s">
        <v>14</v>
      </c>
      <c r="C275" s="1" t="s">
        <v>696</v>
      </c>
      <c r="D275" s="1" t="s">
        <v>72</v>
      </c>
      <c r="E275" s="1" t="s">
        <v>123</v>
      </c>
      <c r="F275" s="1" t="s">
        <v>26</v>
      </c>
      <c r="G275" s="6">
        <v>42066</v>
      </c>
      <c r="H275" s="1">
        <v>1995</v>
      </c>
      <c r="I275" t="s">
        <v>89</v>
      </c>
      <c r="J275" s="1">
        <v>9</v>
      </c>
      <c r="K275" s="1" t="s">
        <v>20</v>
      </c>
      <c r="L275" s="1" t="s">
        <v>69</v>
      </c>
      <c r="M275" s="1">
        <v>6.8</v>
      </c>
      <c r="N275" s="1">
        <v>137.58000000000001</v>
      </c>
      <c r="O275" s="1">
        <v>96386000</v>
      </c>
      <c r="P275" t="s">
        <v>2282</v>
      </c>
    </row>
    <row r="276" spans="1:16" hidden="1" x14ac:dyDescent="0.3">
      <c r="A276" s="1" t="s">
        <v>697</v>
      </c>
      <c r="B276" s="1" t="s">
        <v>37</v>
      </c>
      <c r="C276" s="1" t="s">
        <v>698</v>
      </c>
      <c r="D276" s="1" t="s">
        <v>16</v>
      </c>
      <c r="E276" s="1" t="s">
        <v>435</v>
      </c>
      <c r="F276" s="1" t="s">
        <v>26</v>
      </c>
      <c r="G276" s="6">
        <v>42506</v>
      </c>
      <c r="H276" s="1">
        <v>2023</v>
      </c>
      <c r="I276" t="s">
        <v>55</v>
      </c>
      <c r="J276" s="1">
        <v>127</v>
      </c>
      <c r="K276" s="1" t="s">
        <v>28</v>
      </c>
      <c r="L276" s="1" t="s">
        <v>41</v>
      </c>
      <c r="M276" s="1">
        <v>7.9</v>
      </c>
      <c r="N276" s="1">
        <v>103.93</v>
      </c>
      <c r="O276" s="1">
        <v>23710000</v>
      </c>
      <c r="P276" t="s">
        <v>2282</v>
      </c>
    </row>
    <row r="277" spans="1:16" x14ac:dyDescent="0.3">
      <c r="A277" s="1" t="s">
        <v>699</v>
      </c>
      <c r="B277" s="1" t="s">
        <v>14</v>
      </c>
      <c r="C277" s="1" t="s">
        <v>700</v>
      </c>
      <c r="D277" s="1" t="s">
        <v>72</v>
      </c>
      <c r="E277" s="1" t="s">
        <v>63</v>
      </c>
      <c r="F277" s="1" t="s">
        <v>33</v>
      </c>
      <c r="G277" s="6">
        <v>42236</v>
      </c>
      <c r="H277" s="1">
        <v>2023</v>
      </c>
      <c r="I277" t="s">
        <v>55</v>
      </c>
      <c r="J277" s="1">
        <v>8</v>
      </c>
      <c r="K277" s="1" t="s">
        <v>20</v>
      </c>
      <c r="L277" s="1" t="s">
        <v>69</v>
      </c>
      <c r="M277" s="1">
        <v>1.8</v>
      </c>
      <c r="N277" s="1">
        <v>34.17</v>
      </c>
      <c r="O277" s="1">
        <v>23713000</v>
      </c>
      <c r="P277" t="s">
        <v>2281</v>
      </c>
    </row>
    <row r="278" spans="1:16" hidden="1" x14ac:dyDescent="0.3">
      <c r="A278" s="1" t="s">
        <v>701</v>
      </c>
      <c r="B278" s="1" t="s">
        <v>37</v>
      </c>
      <c r="C278" s="1" t="s">
        <v>702</v>
      </c>
      <c r="D278" s="1" t="s">
        <v>39</v>
      </c>
      <c r="E278" s="1" t="s">
        <v>252</v>
      </c>
      <c r="F278" s="1" t="s">
        <v>33</v>
      </c>
      <c r="G278" s="6">
        <v>43340</v>
      </c>
      <c r="H278" s="1">
        <v>2013</v>
      </c>
      <c r="I278" t="s">
        <v>77</v>
      </c>
      <c r="J278" s="1">
        <v>70</v>
      </c>
      <c r="K278" s="1" t="s">
        <v>28</v>
      </c>
      <c r="L278" s="1" t="s">
        <v>46</v>
      </c>
      <c r="M278" s="1">
        <v>7.6</v>
      </c>
      <c r="N278" s="1">
        <v>30.49</v>
      </c>
      <c r="O278" s="1">
        <v>53859000</v>
      </c>
      <c r="P278" t="s">
        <v>2282</v>
      </c>
    </row>
    <row r="279" spans="1:16" hidden="1" x14ac:dyDescent="0.3">
      <c r="A279" s="1" t="s">
        <v>703</v>
      </c>
      <c r="B279" s="1" t="s">
        <v>37</v>
      </c>
      <c r="C279" s="1" t="s">
        <v>704</v>
      </c>
      <c r="D279" s="1" t="s">
        <v>31</v>
      </c>
      <c r="E279" s="1" t="s">
        <v>63</v>
      </c>
      <c r="F279" s="1" t="s">
        <v>45</v>
      </c>
      <c r="G279" s="6">
        <v>45195</v>
      </c>
      <c r="H279" s="1">
        <v>1994</v>
      </c>
      <c r="I279" t="s">
        <v>19</v>
      </c>
      <c r="J279" s="1">
        <v>122</v>
      </c>
      <c r="K279" s="1" t="s">
        <v>28</v>
      </c>
      <c r="L279" s="1" t="s">
        <v>21</v>
      </c>
      <c r="M279" s="1">
        <v>1.1000000000000001</v>
      </c>
      <c r="N279" s="1">
        <v>96.6</v>
      </c>
      <c r="O279" s="1">
        <v>27414000</v>
      </c>
      <c r="P279" t="s">
        <v>2282</v>
      </c>
    </row>
    <row r="280" spans="1:16" x14ac:dyDescent="0.3">
      <c r="A280" s="1" t="s">
        <v>705</v>
      </c>
      <c r="B280" s="1" t="s">
        <v>14</v>
      </c>
      <c r="C280" s="1" t="s">
        <v>706</v>
      </c>
      <c r="D280" s="1" t="s">
        <v>49</v>
      </c>
      <c r="E280" s="1" t="s">
        <v>58</v>
      </c>
      <c r="F280" s="1" t="s">
        <v>51</v>
      </c>
      <c r="G280" s="6">
        <v>44276</v>
      </c>
      <c r="H280" s="1">
        <v>2003</v>
      </c>
      <c r="I280" t="s">
        <v>55</v>
      </c>
      <c r="J280" s="1">
        <v>2</v>
      </c>
      <c r="K280" s="1" t="s">
        <v>20</v>
      </c>
      <c r="L280" s="1" t="s">
        <v>35</v>
      </c>
      <c r="M280" s="1">
        <v>2.4</v>
      </c>
      <c r="N280" s="1">
        <v>9.91</v>
      </c>
      <c r="O280" s="1">
        <v>20326000</v>
      </c>
      <c r="P280" t="s">
        <v>2282</v>
      </c>
    </row>
    <row r="281" spans="1:16" x14ac:dyDescent="0.3">
      <c r="A281" s="1" t="s">
        <v>707</v>
      </c>
      <c r="B281" s="1" t="s">
        <v>14</v>
      </c>
      <c r="C281" s="1" t="s">
        <v>708</v>
      </c>
      <c r="D281" s="1" t="s">
        <v>49</v>
      </c>
      <c r="E281" s="1" t="s">
        <v>364</v>
      </c>
      <c r="F281" s="1" t="s">
        <v>59</v>
      </c>
      <c r="G281" s="6">
        <v>42301</v>
      </c>
      <c r="H281" s="1">
        <v>2004</v>
      </c>
      <c r="I281" t="s">
        <v>19</v>
      </c>
      <c r="J281" s="1">
        <v>4</v>
      </c>
      <c r="K281" s="1" t="s">
        <v>20</v>
      </c>
      <c r="L281" s="1" t="s">
        <v>52</v>
      </c>
      <c r="M281" s="1">
        <v>6.9</v>
      </c>
      <c r="N281" s="1">
        <v>46.81</v>
      </c>
      <c r="O281" s="1">
        <v>30783000</v>
      </c>
      <c r="P281" t="s">
        <v>2281</v>
      </c>
    </row>
    <row r="282" spans="1:16" hidden="1" x14ac:dyDescent="0.3">
      <c r="A282" s="1" t="s">
        <v>709</v>
      </c>
      <c r="B282" s="1" t="s">
        <v>37</v>
      </c>
      <c r="C282" s="1" t="s">
        <v>710</v>
      </c>
      <c r="D282" s="1" t="s">
        <v>39</v>
      </c>
      <c r="E282" s="1" t="s">
        <v>72</v>
      </c>
      <c r="F282" s="1" t="s">
        <v>26</v>
      </c>
      <c r="G282" s="6">
        <v>45143</v>
      </c>
      <c r="H282" s="1">
        <v>2004</v>
      </c>
      <c r="I282" t="s">
        <v>89</v>
      </c>
      <c r="J282" s="1">
        <v>158</v>
      </c>
      <c r="K282" s="1" t="s">
        <v>28</v>
      </c>
      <c r="L282" s="1" t="s">
        <v>35</v>
      </c>
      <c r="M282" s="1">
        <v>8.3000000000000007</v>
      </c>
      <c r="N282" s="1">
        <v>88.7</v>
      </c>
      <c r="O282" s="1">
        <v>78875000</v>
      </c>
      <c r="P282" t="s">
        <v>2281</v>
      </c>
    </row>
    <row r="283" spans="1:16" x14ac:dyDescent="0.3">
      <c r="A283" s="1" t="s">
        <v>711</v>
      </c>
      <c r="B283" s="1" t="s">
        <v>14</v>
      </c>
      <c r="C283" s="1" t="s">
        <v>712</v>
      </c>
      <c r="D283" s="1" t="s">
        <v>72</v>
      </c>
      <c r="E283" s="1" t="s">
        <v>63</v>
      </c>
      <c r="F283" s="1" t="s">
        <v>45</v>
      </c>
      <c r="G283" s="6">
        <v>44352</v>
      </c>
      <c r="H283" s="1">
        <v>2013</v>
      </c>
      <c r="I283" t="s">
        <v>27</v>
      </c>
      <c r="J283" s="1">
        <v>8</v>
      </c>
      <c r="K283" s="1" t="s">
        <v>20</v>
      </c>
      <c r="L283" s="1" t="s">
        <v>41</v>
      </c>
      <c r="M283" s="1">
        <v>4.4000000000000004</v>
      </c>
      <c r="N283" s="1">
        <v>114.17</v>
      </c>
      <c r="O283" s="1">
        <v>80684000</v>
      </c>
      <c r="P283" t="s">
        <v>2281</v>
      </c>
    </row>
    <row r="284" spans="1:16" x14ac:dyDescent="0.3">
      <c r="A284" s="1" t="s">
        <v>713</v>
      </c>
      <c r="B284" s="1" t="s">
        <v>14</v>
      </c>
      <c r="C284" s="1" t="s">
        <v>714</v>
      </c>
      <c r="D284" s="1" t="s">
        <v>49</v>
      </c>
      <c r="E284" s="1" t="s">
        <v>123</v>
      </c>
      <c r="F284" s="1" t="s">
        <v>18</v>
      </c>
      <c r="G284" s="6">
        <v>43293</v>
      </c>
      <c r="H284" s="1">
        <v>2003</v>
      </c>
      <c r="I284" t="s">
        <v>77</v>
      </c>
      <c r="J284" s="1">
        <v>1</v>
      </c>
      <c r="K284" s="1" t="s">
        <v>20</v>
      </c>
      <c r="L284" s="1" t="s">
        <v>52</v>
      </c>
      <c r="M284" s="1">
        <v>3.8</v>
      </c>
      <c r="N284" s="1">
        <v>86.25</v>
      </c>
      <c r="O284" s="1">
        <v>82612000</v>
      </c>
      <c r="P284" t="s">
        <v>2281</v>
      </c>
    </row>
    <row r="285" spans="1:16" hidden="1" x14ac:dyDescent="0.3">
      <c r="A285" s="1" t="s">
        <v>715</v>
      </c>
      <c r="B285" s="1" t="s">
        <v>37</v>
      </c>
      <c r="C285" s="1" t="s">
        <v>716</v>
      </c>
      <c r="D285" s="1" t="s">
        <v>39</v>
      </c>
      <c r="E285" s="1" t="s">
        <v>717</v>
      </c>
      <c r="F285" s="1" t="s">
        <v>45</v>
      </c>
      <c r="G285" s="6">
        <v>44987</v>
      </c>
      <c r="H285" s="1">
        <v>2022</v>
      </c>
      <c r="I285" t="s">
        <v>55</v>
      </c>
      <c r="J285" s="1">
        <v>141</v>
      </c>
      <c r="K285" s="1" t="s">
        <v>28</v>
      </c>
      <c r="L285" s="1" t="s">
        <v>69</v>
      </c>
      <c r="M285" s="1">
        <v>2.9</v>
      </c>
      <c r="N285" s="1">
        <v>16.93</v>
      </c>
      <c r="O285" s="1">
        <v>6660000</v>
      </c>
      <c r="P285" t="s">
        <v>2282</v>
      </c>
    </row>
    <row r="286" spans="1:16" hidden="1" x14ac:dyDescent="0.3">
      <c r="A286" s="1" t="s">
        <v>718</v>
      </c>
      <c r="B286" s="1" t="s">
        <v>37</v>
      </c>
      <c r="C286" s="1" t="s">
        <v>719</v>
      </c>
      <c r="D286" s="1" t="s">
        <v>62</v>
      </c>
      <c r="E286" s="1" t="s">
        <v>414</v>
      </c>
      <c r="F286" s="1" t="s">
        <v>33</v>
      </c>
      <c r="G286" s="6">
        <v>44511</v>
      </c>
      <c r="H286" s="1">
        <v>2002</v>
      </c>
      <c r="I286" t="s">
        <v>19</v>
      </c>
      <c r="J286" s="1">
        <v>137</v>
      </c>
      <c r="K286" s="1" t="s">
        <v>28</v>
      </c>
      <c r="L286" s="1" t="s">
        <v>41</v>
      </c>
      <c r="M286" s="1">
        <v>5.6</v>
      </c>
      <c r="N286" s="1">
        <v>84</v>
      </c>
      <c r="O286" s="1">
        <v>32915000</v>
      </c>
      <c r="P286" t="s">
        <v>2282</v>
      </c>
    </row>
    <row r="287" spans="1:16" x14ac:dyDescent="0.3">
      <c r="A287" s="1" t="s">
        <v>720</v>
      </c>
      <c r="B287" s="1" t="s">
        <v>14</v>
      </c>
      <c r="C287" s="1" t="s">
        <v>721</v>
      </c>
      <c r="D287" s="1" t="s">
        <v>24</v>
      </c>
      <c r="E287" s="1" t="s">
        <v>722</v>
      </c>
      <c r="F287" s="1" t="s">
        <v>33</v>
      </c>
      <c r="G287" s="6">
        <v>44305</v>
      </c>
      <c r="H287" s="1">
        <v>2009</v>
      </c>
      <c r="I287" t="s">
        <v>34</v>
      </c>
      <c r="J287" s="1">
        <v>4</v>
      </c>
      <c r="K287" s="1" t="s">
        <v>20</v>
      </c>
      <c r="L287" s="1" t="s">
        <v>35</v>
      </c>
      <c r="M287" s="1">
        <v>2.2999999999999998</v>
      </c>
      <c r="N287" s="1">
        <v>20.23</v>
      </c>
      <c r="O287" s="1">
        <v>36327000</v>
      </c>
      <c r="P287" t="s">
        <v>2281</v>
      </c>
    </row>
    <row r="288" spans="1:16" x14ac:dyDescent="0.3">
      <c r="A288" s="1" t="s">
        <v>723</v>
      </c>
      <c r="B288" s="1" t="s">
        <v>14</v>
      </c>
      <c r="C288" s="1" t="s">
        <v>724</v>
      </c>
      <c r="D288" s="1" t="s">
        <v>31</v>
      </c>
      <c r="E288" s="1" t="s">
        <v>72</v>
      </c>
      <c r="F288" s="1" t="s">
        <v>18</v>
      </c>
      <c r="G288" s="6">
        <v>43396</v>
      </c>
      <c r="H288" s="1">
        <v>1995</v>
      </c>
      <c r="I288" t="s">
        <v>77</v>
      </c>
      <c r="J288" s="1">
        <v>1</v>
      </c>
      <c r="K288" s="1" t="s">
        <v>20</v>
      </c>
      <c r="L288" s="1" t="s">
        <v>46</v>
      </c>
      <c r="M288" s="1">
        <v>4</v>
      </c>
      <c r="N288" s="1">
        <v>133.26</v>
      </c>
      <c r="O288" s="1">
        <v>31710000</v>
      </c>
      <c r="P288" t="s">
        <v>2282</v>
      </c>
    </row>
    <row r="289" spans="1:16" hidden="1" x14ac:dyDescent="0.3">
      <c r="A289" s="1" t="s">
        <v>725</v>
      </c>
      <c r="B289" s="1" t="s">
        <v>37</v>
      </c>
      <c r="C289" s="1" t="s">
        <v>726</v>
      </c>
      <c r="D289" s="1" t="s">
        <v>72</v>
      </c>
      <c r="E289" s="1" t="s">
        <v>727</v>
      </c>
      <c r="F289" s="1" t="s">
        <v>26</v>
      </c>
      <c r="G289" s="6">
        <v>43206</v>
      </c>
      <c r="H289" s="1">
        <v>1990</v>
      </c>
      <c r="I289" t="s">
        <v>77</v>
      </c>
      <c r="J289" s="1">
        <v>152</v>
      </c>
      <c r="K289" s="1" t="s">
        <v>28</v>
      </c>
      <c r="L289" s="1" t="s">
        <v>21</v>
      </c>
      <c r="M289" s="1">
        <v>6.1</v>
      </c>
      <c r="N289" s="1">
        <v>75.819999999999993</v>
      </c>
      <c r="O289" s="1">
        <v>16891000</v>
      </c>
      <c r="P289" t="s">
        <v>2282</v>
      </c>
    </row>
    <row r="290" spans="1:16" hidden="1" x14ac:dyDescent="0.3">
      <c r="A290" s="1" t="s">
        <v>728</v>
      </c>
      <c r="B290" s="1" t="s">
        <v>37</v>
      </c>
      <c r="C290" s="1" t="s">
        <v>729</v>
      </c>
      <c r="D290" s="1" t="s">
        <v>24</v>
      </c>
      <c r="E290" s="1" t="s">
        <v>730</v>
      </c>
      <c r="F290" s="1" t="s">
        <v>59</v>
      </c>
      <c r="G290" s="6">
        <v>43965</v>
      </c>
      <c r="H290" s="1">
        <v>2023</v>
      </c>
      <c r="I290" t="s">
        <v>77</v>
      </c>
      <c r="J290" s="1">
        <v>134</v>
      </c>
      <c r="K290" s="1" t="s">
        <v>28</v>
      </c>
      <c r="L290" s="1" t="s">
        <v>21</v>
      </c>
      <c r="M290" s="1">
        <v>8.9</v>
      </c>
      <c r="N290" s="1">
        <v>60.64</v>
      </c>
      <c r="O290" s="1">
        <v>99419000</v>
      </c>
      <c r="P290" t="s">
        <v>2281</v>
      </c>
    </row>
    <row r="291" spans="1:16" x14ac:dyDescent="0.3">
      <c r="A291" s="1" t="s">
        <v>731</v>
      </c>
      <c r="B291" s="1" t="s">
        <v>14</v>
      </c>
      <c r="C291" s="1" t="s">
        <v>732</v>
      </c>
      <c r="D291" s="1" t="s">
        <v>49</v>
      </c>
      <c r="E291" s="1" t="s">
        <v>733</v>
      </c>
      <c r="F291" s="1" t="s">
        <v>59</v>
      </c>
      <c r="G291" s="6">
        <v>44104</v>
      </c>
      <c r="H291" s="1">
        <v>2015</v>
      </c>
      <c r="I291" t="s">
        <v>27</v>
      </c>
      <c r="J291" s="1">
        <v>9</v>
      </c>
      <c r="K291" s="1" t="s">
        <v>20</v>
      </c>
      <c r="L291" s="1" t="s">
        <v>35</v>
      </c>
      <c r="M291" s="1">
        <v>3.3</v>
      </c>
      <c r="N291" s="1">
        <v>27.8</v>
      </c>
      <c r="O291" s="1">
        <v>75309000</v>
      </c>
      <c r="P291" t="s">
        <v>2282</v>
      </c>
    </row>
    <row r="292" spans="1:16" hidden="1" x14ac:dyDescent="0.3">
      <c r="A292" s="1" t="s">
        <v>734</v>
      </c>
      <c r="B292" s="1" t="s">
        <v>37</v>
      </c>
      <c r="C292" s="1" t="s">
        <v>735</v>
      </c>
      <c r="D292" s="1" t="s">
        <v>72</v>
      </c>
      <c r="E292" s="1" t="s">
        <v>75</v>
      </c>
      <c r="F292" s="1" t="s">
        <v>33</v>
      </c>
      <c r="G292" s="6">
        <v>44868</v>
      </c>
      <c r="H292" s="1">
        <v>1990</v>
      </c>
      <c r="I292" t="s">
        <v>89</v>
      </c>
      <c r="J292" s="1">
        <v>67</v>
      </c>
      <c r="K292" s="1" t="s">
        <v>28</v>
      </c>
      <c r="L292" s="1" t="s">
        <v>69</v>
      </c>
      <c r="M292" s="1">
        <v>1.7</v>
      </c>
      <c r="N292" s="1">
        <v>112</v>
      </c>
      <c r="O292" s="1">
        <v>73955000</v>
      </c>
      <c r="P292" t="s">
        <v>2281</v>
      </c>
    </row>
    <row r="293" spans="1:16" x14ac:dyDescent="0.3">
      <c r="A293" s="1" t="s">
        <v>736</v>
      </c>
      <c r="B293" s="1" t="s">
        <v>14</v>
      </c>
      <c r="C293" s="1" t="s">
        <v>737</v>
      </c>
      <c r="D293" s="1" t="s">
        <v>72</v>
      </c>
      <c r="E293" s="1" t="s">
        <v>344</v>
      </c>
      <c r="F293" s="1" t="s">
        <v>26</v>
      </c>
      <c r="G293" s="6">
        <v>44114</v>
      </c>
      <c r="H293" s="1">
        <v>2022</v>
      </c>
      <c r="I293" t="s">
        <v>77</v>
      </c>
      <c r="J293" s="1">
        <v>7</v>
      </c>
      <c r="K293" s="1" t="s">
        <v>20</v>
      </c>
      <c r="L293" s="1" t="s">
        <v>69</v>
      </c>
      <c r="M293" s="1">
        <v>3.5</v>
      </c>
      <c r="N293" s="1">
        <v>98.68</v>
      </c>
      <c r="O293" s="1">
        <v>47656000</v>
      </c>
      <c r="P293" t="s">
        <v>2282</v>
      </c>
    </row>
    <row r="294" spans="1:16" x14ac:dyDescent="0.3">
      <c r="A294" s="1" t="s">
        <v>738</v>
      </c>
      <c r="B294" s="1" t="s">
        <v>14</v>
      </c>
      <c r="C294" s="1" t="s">
        <v>739</v>
      </c>
      <c r="D294" s="1" t="s">
        <v>16</v>
      </c>
      <c r="E294" s="1" t="s">
        <v>63</v>
      </c>
      <c r="F294" s="1" t="s">
        <v>18</v>
      </c>
      <c r="G294" s="6">
        <v>44581</v>
      </c>
      <c r="H294" s="1">
        <v>2019</v>
      </c>
      <c r="I294" t="s">
        <v>34</v>
      </c>
      <c r="J294" s="1">
        <v>3</v>
      </c>
      <c r="K294" s="1" t="s">
        <v>20</v>
      </c>
      <c r="L294" s="1" t="s">
        <v>46</v>
      </c>
      <c r="M294" s="1">
        <v>4.4000000000000004</v>
      </c>
      <c r="N294" s="1">
        <v>89.53</v>
      </c>
      <c r="O294" s="1">
        <v>15675000</v>
      </c>
      <c r="P294" t="s">
        <v>2281</v>
      </c>
    </row>
    <row r="295" spans="1:16" x14ac:dyDescent="0.3">
      <c r="A295" s="1" t="s">
        <v>740</v>
      </c>
      <c r="B295" s="1" t="s">
        <v>14</v>
      </c>
      <c r="C295" s="1" t="s">
        <v>741</v>
      </c>
      <c r="D295" s="1" t="s">
        <v>31</v>
      </c>
      <c r="E295" s="1" t="s">
        <v>72</v>
      </c>
      <c r="F295" s="1" t="s">
        <v>158</v>
      </c>
      <c r="G295" s="6">
        <v>45135</v>
      </c>
      <c r="H295" s="1">
        <v>1990</v>
      </c>
      <c r="I295" t="s">
        <v>34</v>
      </c>
      <c r="J295" s="1">
        <v>7</v>
      </c>
      <c r="K295" s="1" t="s">
        <v>20</v>
      </c>
      <c r="L295" s="1" t="s">
        <v>69</v>
      </c>
      <c r="M295" s="1">
        <v>8.1999999999999993</v>
      </c>
      <c r="N295" s="1">
        <v>38.56</v>
      </c>
      <c r="O295" s="1">
        <v>99199000</v>
      </c>
      <c r="P295" t="s">
        <v>2281</v>
      </c>
    </row>
    <row r="296" spans="1:16" hidden="1" x14ac:dyDescent="0.3">
      <c r="A296" s="1" t="s">
        <v>742</v>
      </c>
      <c r="B296" s="1" t="s">
        <v>37</v>
      </c>
      <c r="C296" s="1" t="s">
        <v>743</v>
      </c>
      <c r="D296" s="1" t="s">
        <v>72</v>
      </c>
      <c r="E296" s="1" t="s">
        <v>72</v>
      </c>
      <c r="F296" s="1" t="s">
        <v>59</v>
      </c>
      <c r="G296" s="6">
        <v>44921</v>
      </c>
      <c r="H296" s="1">
        <v>2019</v>
      </c>
      <c r="I296" t="s">
        <v>77</v>
      </c>
      <c r="J296" s="1">
        <v>178</v>
      </c>
      <c r="K296" s="1" t="s">
        <v>28</v>
      </c>
      <c r="L296" s="1" t="s">
        <v>52</v>
      </c>
      <c r="M296" s="1">
        <v>7.7</v>
      </c>
      <c r="N296" s="1">
        <v>110.29</v>
      </c>
      <c r="O296" s="1">
        <v>88646000</v>
      </c>
      <c r="P296" t="s">
        <v>2281</v>
      </c>
    </row>
    <row r="297" spans="1:16" hidden="1" x14ac:dyDescent="0.3">
      <c r="A297" s="1" t="s">
        <v>744</v>
      </c>
      <c r="B297" s="1" t="s">
        <v>37</v>
      </c>
      <c r="C297" s="1" t="s">
        <v>745</v>
      </c>
      <c r="D297" s="1" t="s">
        <v>62</v>
      </c>
      <c r="E297" s="1" t="s">
        <v>63</v>
      </c>
      <c r="F297" s="1" t="s">
        <v>33</v>
      </c>
      <c r="G297" s="6">
        <v>43390</v>
      </c>
      <c r="H297" s="1">
        <v>2020</v>
      </c>
      <c r="I297" t="s">
        <v>77</v>
      </c>
      <c r="J297" s="1">
        <v>71</v>
      </c>
      <c r="K297" s="1" t="s">
        <v>28</v>
      </c>
      <c r="L297" s="1" t="s">
        <v>21</v>
      </c>
      <c r="M297" s="1">
        <v>3.1</v>
      </c>
      <c r="N297" s="1">
        <v>104.37</v>
      </c>
      <c r="O297" s="1">
        <v>37131000</v>
      </c>
      <c r="P297" t="s">
        <v>2281</v>
      </c>
    </row>
    <row r="298" spans="1:16" hidden="1" x14ac:dyDescent="0.3">
      <c r="A298" s="1" t="s">
        <v>746</v>
      </c>
      <c r="B298" s="1" t="s">
        <v>37</v>
      </c>
      <c r="C298" s="1" t="s">
        <v>747</v>
      </c>
      <c r="D298" s="1" t="s">
        <v>24</v>
      </c>
      <c r="E298" s="1" t="s">
        <v>40</v>
      </c>
      <c r="F298" s="1" t="s">
        <v>33</v>
      </c>
      <c r="G298" s="6">
        <v>44880</v>
      </c>
      <c r="H298" s="1">
        <v>2003</v>
      </c>
      <c r="I298" t="s">
        <v>34</v>
      </c>
      <c r="J298" s="1">
        <v>66</v>
      </c>
      <c r="K298" s="1" t="s">
        <v>28</v>
      </c>
      <c r="L298" s="1" t="s">
        <v>21</v>
      </c>
      <c r="M298" s="1">
        <v>4.2</v>
      </c>
      <c r="N298" s="1">
        <v>82.28</v>
      </c>
      <c r="O298" s="1">
        <v>50478000</v>
      </c>
      <c r="P298" t="s">
        <v>2282</v>
      </c>
    </row>
    <row r="299" spans="1:16" x14ac:dyDescent="0.3">
      <c r="A299" s="1" t="s">
        <v>748</v>
      </c>
      <c r="B299" s="1" t="s">
        <v>14</v>
      </c>
      <c r="C299" s="1" t="s">
        <v>749</v>
      </c>
      <c r="D299" s="1" t="s">
        <v>39</v>
      </c>
      <c r="E299" s="1" t="s">
        <v>298</v>
      </c>
      <c r="F299" s="1" t="s">
        <v>45</v>
      </c>
      <c r="G299" s="6">
        <v>44216</v>
      </c>
      <c r="H299" s="1">
        <v>1993</v>
      </c>
      <c r="I299" t="s">
        <v>89</v>
      </c>
      <c r="J299" s="1">
        <v>5</v>
      </c>
      <c r="K299" s="1" t="s">
        <v>20</v>
      </c>
      <c r="L299" s="1" t="s">
        <v>41</v>
      </c>
      <c r="M299" s="1">
        <v>6.7</v>
      </c>
      <c r="N299" s="1">
        <v>110.83</v>
      </c>
      <c r="O299" s="1">
        <v>71516000</v>
      </c>
      <c r="P299" t="s">
        <v>2281</v>
      </c>
    </row>
    <row r="300" spans="1:16" x14ac:dyDescent="0.3">
      <c r="A300" s="1" t="s">
        <v>750</v>
      </c>
      <c r="B300" s="1" t="s">
        <v>14</v>
      </c>
      <c r="C300" s="1" t="s">
        <v>751</v>
      </c>
      <c r="D300" s="1" t="s">
        <v>62</v>
      </c>
      <c r="E300" s="1" t="s">
        <v>75</v>
      </c>
      <c r="F300" s="1" t="s">
        <v>45</v>
      </c>
      <c r="G300" s="6">
        <v>44735</v>
      </c>
      <c r="H300" s="1">
        <v>2023</v>
      </c>
      <c r="I300" t="s">
        <v>89</v>
      </c>
      <c r="J300" s="1">
        <v>2</v>
      </c>
      <c r="K300" s="1" t="s">
        <v>20</v>
      </c>
      <c r="L300" s="1" t="s">
        <v>21</v>
      </c>
      <c r="M300" s="1">
        <v>6.2</v>
      </c>
      <c r="N300" s="1">
        <v>83.97</v>
      </c>
      <c r="O300" s="1">
        <v>85426000</v>
      </c>
      <c r="P300" t="s">
        <v>2282</v>
      </c>
    </row>
    <row r="301" spans="1:16" hidden="1" x14ac:dyDescent="0.3">
      <c r="A301" s="1" t="s">
        <v>752</v>
      </c>
      <c r="B301" s="1" t="s">
        <v>37</v>
      </c>
      <c r="C301" s="1" t="s">
        <v>753</v>
      </c>
      <c r="D301" s="1" t="s">
        <v>49</v>
      </c>
      <c r="E301" s="1" t="s">
        <v>636</v>
      </c>
      <c r="F301" s="1" t="s">
        <v>76</v>
      </c>
      <c r="G301" s="6">
        <v>44784</v>
      </c>
      <c r="H301" s="1">
        <v>2012</v>
      </c>
      <c r="I301" t="s">
        <v>89</v>
      </c>
      <c r="J301" s="1">
        <v>150</v>
      </c>
      <c r="K301" s="1" t="s">
        <v>28</v>
      </c>
      <c r="L301" s="1" t="s">
        <v>21</v>
      </c>
      <c r="M301" s="1">
        <v>2.9</v>
      </c>
      <c r="N301" s="1">
        <v>77.36</v>
      </c>
      <c r="O301" s="1">
        <v>19249000</v>
      </c>
      <c r="P301" t="s">
        <v>2281</v>
      </c>
    </row>
    <row r="302" spans="1:16" hidden="1" x14ac:dyDescent="0.3">
      <c r="A302" s="1" t="s">
        <v>754</v>
      </c>
      <c r="B302" s="1" t="s">
        <v>37</v>
      </c>
      <c r="C302" s="1" t="s">
        <v>755</v>
      </c>
      <c r="D302" s="1" t="s">
        <v>72</v>
      </c>
      <c r="E302" s="1" t="s">
        <v>756</v>
      </c>
      <c r="F302" s="1" t="s">
        <v>18</v>
      </c>
      <c r="G302" s="6">
        <v>43858</v>
      </c>
      <c r="H302" s="1">
        <v>1997</v>
      </c>
      <c r="I302" t="s">
        <v>27</v>
      </c>
      <c r="J302" s="1">
        <v>101</v>
      </c>
      <c r="K302" s="1" t="s">
        <v>28</v>
      </c>
      <c r="L302" s="1" t="s">
        <v>52</v>
      </c>
      <c r="M302" s="1">
        <v>999</v>
      </c>
      <c r="N302" s="1">
        <v>100.73</v>
      </c>
      <c r="O302" s="1">
        <v>15887000</v>
      </c>
      <c r="P302" t="s">
        <v>2282</v>
      </c>
    </row>
    <row r="303" spans="1:16" hidden="1" x14ac:dyDescent="0.3">
      <c r="A303" s="1" t="s">
        <v>757</v>
      </c>
      <c r="B303" s="1" t="s">
        <v>37</v>
      </c>
      <c r="C303" s="1" t="s">
        <v>758</v>
      </c>
      <c r="D303" s="1" t="s">
        <v>24</v>
      </c>
      <c r="E303" s="1" t="s">
        <v>633</v>
      </c>
      <c r="F303" s="1" t="s">
        <v>51</v>
      </c>
      <c r="G303" s="6">
        <v>44199</v>
      </c>
      <c r="H303" s="1">
        <v>1990</v>
      </c>
      <c r="I303" t="s">
        <v>55</v>
      </c>
      <c r="J303" s="1">
        <v>71</v>
      </c>
      <c r="K303" s="1" t="s">
        <v>28</v>
      </c>
      <c r="L303" s="1" t="s">
        <v>41</v>
      </c>
      <c r="M303" s="1">
        <v>9</v>
      </c>
      <c r="N303" s="1">
        <v>99.73</v>
      </c>
      <c r="O303" s="1">
        <v>97599000</v>
      </c>
      <c r="P303" t="s">
        <v>2282</v>
      </c>
    </row>
    <row r="304" spans="1:16" hidden="1" x14ac:dyDescent="0.3">
      <c r="A304" s="1" t="s">
        <v>759</v>
      </c>
      <c r="B304" s="1" t="s">
        <v>37</v>
      </c>
      <c r="C304" s="1" t="s">
        <v>760</v>
      </c>
      <c r="D304" s="1" t="s">
        <v>16</v>
      </c>
      <c r="E304" s="1" t="s">
        <v>267</v>
      </c>
      <c r="F304" s="1" t="s">
        <v>158</v>
      </c>
      <c r="G304" s="6">
        <v>43734</v>
      </c>
      <c r="H304" s="1">
        <v>2019</v>
      </c>
      <c r="I304" t="s">
        <v>27</v>
      </c>
      <c r="J304" s="1">
        <v>77</v>
      </c>
      <c r="K304" s="1" t="s">
        <v>28</v>
      </c>
      <c r="L304" s="1" t="s">
        <v>21</v>
      </c>
      <c r="M304" s="1">
        <v>2.6</v>
      </c>
      <c r="N304" s="1">
        <v>60.87</v>
      </c>
      <c r="O304" s="1">
        <v>55800000</v>
      </c>
      <c r="P304" t="s">
        <v>2281</v>
      </c>
    </row>
    <row r="305" spans="1:16" hidden="1" x14ac:dyDescent="0.3">
      <c r="A305" s="1" t="s">
        <v>761</v>
      </c>
      <c r="B305" s="1" t="s">
        <v>37</v>
      </c>
      <c r="C305" s="1" t="s">
        <v>762</v>
      </c>
      <c r="D305" s="1" t="s">
        <v>16</v>
      </c>
      <c r="E305" s="1" t="s">
        <v>309</v>
      </c>
      <c r="F305" s="1" t="s">
        <v>18</v>
      </c>
      <c r="G305" s="6">
        <v>42805</v>
      </c>
      <c r="H305" s="1">
        <v>2005</v>
      </c>
      <c r="I305" t="s">
        <v>19</v>
      </c>
      <c r="J305" s="1">
        <v>113</v>
      </c>
      <c r="K305" s="1" t="s">
        <v>28</v>
      </c>
      <c r="L305" s="1" t="s">
        <v>41</v>
      </c>
      <c r="M305" s="1">
        <v>4.5999999999999996</v>
      </c>
      <c r="N305" s="1">
        <v>115.74</v>
      </c>
      <c r="O305" s="1">
        <v>24715000</v>
      </c>
      <c r="P305" t="s">
        <v>2281</v>
      </c>
    </row>
    <row r="306" spans="1:16" hidden="1" x14ac:dyDescent="0.3">
      <c r="A306" s="1" t="s">
        <v>763</v>
      </c>
      <c r="B306" s="1" t="s">
        <v>37</v>
      </c>
      <c r="C306" s="1" t="s">
        <v>764</v>
      </c>
      <c r="D306" s="1" t="s">
        <v>62</v>
      </c>
      <c r="E306" s="1" t="s">
        <v>187</v>
      </c>
      <c r="F306" s="1" t="s">
        <v>51</v>
      </c>
      <c r="G306" s="6">
        <v>42326</v>
      </c>
      <c r="H306" s="1">
        <v>1995</v>
      </c>
      <c r="I306" t="s">
        <v>34</v>
      </c>
      <c r="J306" s="1">
        <v>111</v>
      </c>
      <c r="K306" s="1" t="s">
        <v>28</v>
      </c>
      <c r="L306" s="1" t="s">
        <v>52</v>
      </c>
      <c r="M306" s="1">
        <v>5.9</v>
      </c>
      <c r="N306" s="1">
        <v>73.599999999999994</v>
      </c>
      <c r="O306" s="1">
        <v>69315000</v>
      </c>
      <c r="P306" t="s">
        <v>2282</v>
      </c>
    </row>
    <row r="307" spans="1:16" hidden="1" x14ac:dyDescent="0.3">
      <c r="A307" s="1" t="s">
        <v>765</v>
      </c>
      <c r="B307" s="1" t="s">
        <v>37</v>
      </c>
      <c r="C307" s="1" t="s">
        <v>766</v>
      </c>
      <c r="D307" s="1" t="s">
        <v>31</v>
      </c>
      <c r="E307" s="1" t="s">
        <v>63</v>
      </c>
      <c r="F307" s="1" t="s">
        <v>18</v>
      </c>
      <c r="G307" s="6">
        <v>44160</v>
      </c>
      <c r="H307" s="1">
        <v>2005</v>
      </c>
      <c r="I307" t="s">
        <v>19</v>
      </c>
      <c r="J307" s="1">
        <v>141</v>
      </c>
      <c r="K307" s="1" t="s">
        <v>28</v>
      </c>
      <c r="L307" s="1" t="s">
        <v>69</v>
      </c>
      <c r="M307" s="1">
        <v>2.4</v>
      </c>
      <c r="N307" s="1">
        <v>143.85</v>
      </c>
      <c r="O307" s="1">
        <v>37528000</v>
      </c>
      <c r="P307" t="s">
        <v>2281</v>
      </c>
    </row>
    <row r="308" spans="1:16" hidden="1" x14ac:dyDescent="0.3">
      <c r="A308" s="1" t="s">
        <v>767</v>
      </c>
      <c r="B308" s="1" t="s">
        <v>37</v>
      </c>
      <c r="C308" s="1" t="s">
        <v>768</v>
      </c>
      <c r="D308" s="1" t="s">
        <v>16</v>
      </c>
      <c r="E308" s="1" t="s">
        <v>141</v>
      </c>
      <c r="F308" s="1" t="s">
        <v>18</v>
      </c>
      <c r="G308" s="6">
        <v>45112</v>
      </c>
      <c r="H308" s="1">
        <v>1997</v>
      </c>
      <c r="I308" t="s">
        <v>27</v>
      </c>
      <c r="J308" s="1">
        <v>102</v>
      </c>
      <c r="K308" s="1" t="s">
        <v>28</v>
      </c>
      <c r="L308" s="1" t="s">
        <v>35</v>
      </c>
      <c r="M308" s="1">
        <v>5.5</v>
      </c>
      <c r="N308" s="1">
        <v>62.49</v>
      </c>
      <c r="O308" s="1">
        <v>58832000</v>
      </c>
      <c r="P308" t="s">
        <v>2281</v>
      </c>
    </row>
    <row r="309" spans="1:16" hidden="1" x14ac:dyDescent="0.3">
      <c r="A309" s="1" t="s">
        <v>769</v>
      </c>
      <c r="B309" s="1" t="s">
        <v>37</v>
      </c>
      <c r="C309" s="1" t="s">
        <v>770</v>
      </c>
      <c r="D309" s="1" t="s">
        <v>31</v>
      </c>
      <c r="E309" s="1" t="s">
        <v>771</v>
      </c>
      <c r="F309" s="1" t="s">
        <v>26</v>
      </c>
      <c r="G309" s="6">
        <v>45270</v>
      </c>
      <c r="H309" s="1">
        <v>2023</v>
      </c>
      <c r="I309" t="s">
        <v>19</v>
      </c>
      <c r="J309" s="1">
        <v>148</v>
      </c>
      <c r="K309" s="1" t="s">
        <v>28</v>
      </c>
      <c r="L309" s="1" t="s">
        <v>35</v>
      </c>
      <c r="M309" s="1">
        <v>3.1</v>
      </c>
      <c r="N309" s="1">
        <v>65.33</v>
      </c>
      <c r="O309" s="1">
        <v>71707000</v>
      </c>
      <c r="P309" t="s">
        <v>2281</v>
      </c>
    </row>
    <row r="310" spans="1:16" hidden="1" x14ac:dyDescent="0.3">
      <c r="A310" s="1" t="s">
        <v>772</v>
      </c>
      <c r="B310" s="1" t="s">
        <v>37</v>
      </c>
      <c r="C310" s="1" t="s">
        <v>773</v>
      </c>
      <c r="D310" s="1" t="s">
        <v>16</v>
      </c>
      <c r="E310" s="1" t="s">
        <v>50</v>
      </c>
      <c r="F310" s="1" t="s">
        <v>18</v>
      </c>
      <c r="G310" s="6">
        <v>43924</v>
      </c>
      <c r="H310" s="1">
        <v>2004</v>
      </c>
      <c r="I310" t="s">
        <v>19</v>
      </c>
      <c r="J310" s="1">
        <v>65</v>
      </c>
      <c r="K310" s="1" t="s">
        <v>28</v>
      </c>
      <c r="L310" s="1" t="s">
        <v>46</v>
      </c>
      <c r="M310" s="1">
        <v>2.6</v>
      </c>
      <c r="N310" s="1">
        <v>117.78</v>
      </c>
      <c r="O310" s="1">
        <v>91253000</v>
      </c>
      <c r="P310" t="s">
        <v>2281</v>
      </c>
    </row>
    <row r="311" spans="1:16" x14ac:dyDescent="0.3">
      <c r="A311" s="1" t="s">
        <v>774</v>
      </c>
      <c r="B311" s="1" t="s">
        <v>14</v>
      </c>
      <c r="C311" s="1" t="s">
        <v>775</v>
      </c>
      <c r="D311" s="1" t="s">
        <v>16</v>
      </c>
      <c r="E311" s="1" t="s">
        <v>17</v>
      </c>
      <c r="F311" s="1" t="s">
        <v>158</v>
      </c>
      <c r="G311" s="6">
        <v>42709</v>
      </c>
      <c r="H311" s="1">
        <v>1991</v>
      </c>
      <c r="I311" t="s">
        <v>27</v>
      </c>
      <c r="J311" s="1">
        <v>7</v>
      </c>
      <c r="K311" s="1" t="s">
        <v>20</v>
      </c>
      <c r="L311" s="1" t="s">
        <v>69</v>
      </c>
      <c r="M311" s="1">
        <v>4</v>
      </c>
      <c r="N311" s="1">
        <v>82.15</v>
      </c>
      <c r="O311" s="1">
        <v>59763000</v>
      </c>
      <c r="P311" t="s">
        <v>2281</v>
      </c>
    </row>
    <row r="312" spans="1:16" x14ac:dyDescent="0.3">
      <c r="A312" s="1" t="s">
        <v>776</v>
      </c>
      <c r="B312" s="1" t="s">
        <v>14</v>
      </c>
      <c r="C312" s="1" t="s">
        <v>777</v>
      </c>
      <c r="D312" s="1" t="s">
        <v>24</v>
      </c>
      <c r="E312" s="1" t="s">
        <v>216</v>
      </c>
      <c r="F312" s="1" t="s">
        <v>51</v>
      </c>
      <c r="G312" s="6">
        <v>42053</v>
      </c>
      <c r="H312" s="1">
        <v>1998</v>
      </c>
      <c r="I312" t="s">
        <v>19</v>
      </c>
      <c r="J312" s="1">
        <v>8</v>
      </c>
      <c r="K312" s="1" t="s">
        <v>20</v>
      </c>
      <c r="L312" s="1" t="s">
        <v>35</v>
      </c>
      <c r="M312" s="1">
        <v>3.2</v>
      </c>
      <c r="N312" s="1">
        <v>103.65</v>
      </c>
      <c r="O312" s="1">
        <v>53666000</v>
      </c>
      <c r="P312" t="s">
        <v>2281</v>
      </c>
    </row>
    <row r="313" spans="1:16" hidden="1" x14ac:dyDescent="0.3">
      <c r="A313" s="1" t="s">
        <v>778</v>
      </c>
      <c r="B313" s="1" t="s">
        <v>37</v>
      </c>
      <c r="C313" s="1" t="s">
        <v>779</v>
      </c>
      <c r="D313" s="1" t="s">
        <v>16</v>
      </c>
      <c r="E313" s="1" t="s">
        <v>58</v>
      </c>
      <c r="F313" s="1" t="s">
        <v>51</v>
      </c>
      <c r="G313" s="6">
        <v>43571</v>
      </c>
      <c r="H313" s="1">
        <v>2019</v>
      </c>
      <c r="I313" t="s">
        <v>19</v>
      </c>
      <c r="J313" s="1">
        <v>169</v>
      </c>
      <c r="K313" s="1" t="s">
        <v>28</v>
      </c>
      <c r="L313" s="1" t="s">
        <v>41</v>
      </c>
      <c r="M313" s="1">
        <v>8.6999999999999993</v>
      </c>
      <c r="N313" s="1">
        <v>45.52</v>
      </c>
      <c r="O313" s="1">
        <v>21101000</v>
      </c>
      <c r="P313" t="s">
        <v>2282</v>
      </c>
    </row>
    <row r="314" spans="1:16" hidden="1" x14ac:dyDescent="0.3">
      <c r="A314" s="1" t="s">
        <v>780</v>
      </c>
      <c r="B314" s="1" t="s">
        <v>37</v>
      </c>
      <c r="C314" s="1" t="s">
        <v>781</v>
      </c>
      <c r="D314" s="1" t="s">
        <v>49</v>
      </c>
      <c r="E314" s="1" t="s">
        <v>72</v>
      </c>
      <c r="F314" s="1" t="s">
        <v>33</v>
      </c>
      <c r="G314" s="6">
        <v>45159</v>
      </c>
      <c r="H314" s="1">
        <v>2013</v>
      </c>
      <c r="I314" t="s">
        <v>27</v>
      </c>
      <c r="J314" s="1">
        <v>142</v>
      </c>
      <c r="K314" s="1" t="s">
        <v>28</v>
      </c>
      <c r="L314" s="1" t="s">
        <v>35</v>
      </c>
      <c r="M314" s="1">
        <v>6.4</v>
      </c>
      <c r="N314" s="1">
        <v>37.18</v>
      </c>
      <c r="O314" s="1">
        <v>51343000</v>
      </c>
      <c r="P314" t="s">
        <v>2281</v>
      </c>
    </row>
    <row r="315" spans="1:16" hidden="1" x14ac:dyDescent="0.3">
      <c r="A315" s="1" t="s">
        <v>782</v>
      </c>
      <c r="B315" s="1" t="s">
        <v>37</v>
      </c>
      <c r="C315" s="1" t="s">
        <v>783</v>
      </c>
      <c r="D315" s="1" t="s">
        <v>16</v>
      </c>
      <c r="E315" s="1" t="s">
        <v>784</v>
      </c>
      <c r="F315" s="1" t="s">
        <v>158</v>
      </c>
      <c r="G315" s="6">
        <v>42665</v>
      </c>
      <c r="H315" s="1">
        <v>2008</v>
      </c>
      <c r="I315" t="s">
        <v>55</v>
      </c>
      <c r="J315" s="1">
        <v>140</v>
      </c>
      <c r="K315" s="1" t="s">
        <v>28</v>
      </c>
      <c r="L315" s="1" t="s">
        <v>21</v>
      </c>
      <c r="M315" s="1">
        <v>9.5</v>
      </c>
      <c r="N315" s="1">
        <v>61.12</v>
      </c>
      <c r="O315" s="1">
        <v>57449000</v>
      </c>
      <c r="P315" t="s">
        <v>2282</v>
      </c>
    </row>
    <row r="316" spans="1:16" hidden="1" x14ac:dyDescent="0.3">
      <c r="A316" s="1" t="s">
        <v>785</v>
      </c>
      <c r="B316" s="1" t="s">
        <v>37</v>
      </c>
      <c r="C316" s="1" t="s">
        <v>786</v>
      </c>
      <c r="D316" s="1" t="s">
        <v>39</v>
      </c>
      <c r="E316" s="1" t="s">
        <v>787</v>
      </c>
      <c r="F316" s="1" t="s">
        <v>18</v>
      </c>
      <c r="G316" s="6">
        <v>45162</v>
      </c>
      <c r="H316" s="1">
        <v>1998</v>
      </c>
      <c r="I316" t="s">
        <v>34</v>
      </c>
      <c r="J316" s="1">
        <v>130</v>
      </c>
      <c r="K316" s="1" t="s">
        <v>28</v>
      </c>
      <c r="L316" s="1" t="s">
        <v>69</v>
      </c>
      <c r="M316" s="1">
        <v>3.3</v>
      </c>
      <c r="N316" s="1">
        <v>47.71</v>
      </c>
      <c r="O316" s="1">
        <v>7534000</v>
      </c>
      <c r="P316" t="s">
        <v>2281</v>
      </c>
    </row>
    <row r="317" spans="1:16" x14ac:dyDescent="0.3">
      <c r="A317" s="1" t="s">
        <v>788</v>
      </c>
      <c r="B317" s="1" t="s">
        <v>14</v>
      </c>
      <c r="C317" s="1" t="s">
        <v>789</v>
      </c>
      <c r="D317" s="1" t="s">
        <v>31</v>
      </c>
      <c r="E317" s="1" t="s">
        <v>123</v>
      </c>
      <c r="F317" s="1" t="s">
        <v>59</v>
      </c>
      <c r="G317" s="6">
        <v>43539</v>
      </c>
      <c r="H317" s="1">
        <v>2001</v>
      </c>
      <c r="I317" t="s">
        <v>77</v>
      </c>
      <c r="J317" s="1">
        <v>9</v>
      </c>
      <c r="K317" s="1" t="s">
        <v>20</v>
      </c>
      <c r="L317" s="1" t="s">
        <v>46</v>
      </c>
      <c r="M317" s="1">
        <v>2.8</v>
      </c>
      <c r="N317" s="1">
        <v>135.43</v>
      </c>
      <c r="O317" s="1">
        <v>18419000</v>
      </c>
      <c r="P317" t="s">
        <v>2282</v>
      </c>
    </row>
    <row r="318" spans="1:16" hidden="1" x14ac:dyDescent="0.3">
      <c r="A318" s="1" t="s">
        <v>790</v>
      </c>
      <c r="B318" s="1" t="s">
        <v>37</v>
      </c>
      <c r="C318" s="1" t="s">
        <v>791</v>
      </c>
      <c r="D318" s="1" t="s">
        <v>24</v>
      </c>
      <c r="E318" s="1" t="s">
        <v>175</v>
      </c>
      <c r="F318" s="1" t="s">
        <v>51</v>
      </c>
      <c r="G318" s="6">
        <v>43500</v>
      </c>
      <c r="H318" s="1">
        <v>2011</v>
      </c>
      <c r="I318" t="s">
        <v>27</v>
      </c>
      <c r="J318" s="1">
        <v>92</v>
      </c>
      <c r="K318" s="1" t="s">
        <v>28</v>
      </c>
      <c r="L318" s="1" t="s">
        <v>41</v>
      </c>
      <c r="M318" s="1">
        <v>2.1</v>
      </c>
      <c r="N318" s="1">
        <v>88.15</v>
      </c>
      <c r="O318" s="1">
        <v>46574000</v>
      </c>
      <c r="P318" t="s">
        <v>2281</v>
      </c>
    </row>
    <row r="319" spans="1:16" x14ac:dyDescent="0.3">
      <c r="A319" s="1" t="s">
        <v>792</v>
      </c>
      <c r="B319" s="1" t="s">
        <v>14</v>
      </c>
      <c r="C319" s="1" t="s">
        <v>793</v>
      </c>
      <c r="D319" s="1" t="s">
        <v>49</v>
      </c>
      <c r="E319" s="1" t="s">
        <v>794</v>
      </c>
      <c r="F319" s="1" t="s">
        <v>18</v>
      </c>
      <c r="G319" s="6">
        <v>42069</v>
      </c>
      <c r="H319" s="1">
        <v>2012</v>
      </c>
      <c r="I319" t="s">
        <v>19</v>
      </c>
      <c r="J319" s="1">
        <v>4</v>
      </c>
      <c r="K319" s="1" t="s">
        <v>20</v>
      </c>
      <c r="L319" s="1" t="s">
        <v>35</v>
      </c>
      <c r="M319" s="1">
        <v>2.2000000000000002</v>
      </c>
      <c r="N319" s="1">
        <v>52.6</v>
      </c>
      <c r="O319" s="1">
        <v>87564000</v>
      </c>
      <c r="P319" t="s">
        <v>2282</v>
      </c>
    </row>
    <row r="320" spans="1:16" hidden="1" x14ac:dyDescent="0.3">
      <c r="A320" s="1" t="s">
        <v>795</v>
      </c>
      <c r="B320" s="1" t="s">
        <v>37</v>
      </c>
      <c r="C320" s="1" t="s">
        <v>796</v>
      </c>
      <c r="D320" s="1" t="s">
        <v>72</v>
      </c>
      <c r="E320" s="1" t="s">
        <v>187</v>
      </c>
      <c r="F320" s="1" t="s">
        <v>45</v>
      </c>
      <c r="G320" s="6">
        <v>42477</v>
      </c>
      <c r="H320" s="1">
        <v>2009</v>
      </c>
      <c r="I320" t="s">
        <v>19</v>
      </c>
      <c r="J320" s="1">
        <v>172</v>
      </c>
      <c r="K320" s="1" t="s">
        <v>28</v>
      </c>
      <c r="L320" s="1" t="s">
        <v>52</v>
      </c>
      <c r="M320" s="1">
        <v>4</v>
      </c>
      <c r="N320" s="1">
        <v>14.79</v>
      </c>
      <c r="O320" s="1">
        <v>37892000</v>
      </c>
      <c r="P320" t="s">
        <v>2281</v>
      </c>
    </row>
    <row r="321" spans="1:16" hidden="1" x14ac:dyDescent="0.3">
      <c r="A321" s="1" t="s">
        <v>797</v>
      </c>
      <c r="B321" s="1" t="s">
        <v>37</v>
      </c>
      <c r="C321" s="1" t="s">
        <v>798</v>
      </c>
      <c r="D321" s="1" t="s">
        <v>39</v>
      </c>
      <c r="E321" s="1" t="s">
        <v>799</v>
      </c>
      <c r="F321" s="1" t="s">
        <v>59</v>
      </c>
      <c r="G321" s="6">
        <v>43748</v>
      </c>
      <c r="H321" s="1">
        <v>2017</v>
      </c>
      <c r="I321" t="s">
        <v>77</v>
      </c>
      <c r="J321" s="1">
        <v>120</v>
      </c>
      <c r="K321" s="1" t="s">
        <v>28</v>
      </c>
      <c r="L321" s="1" t="s">
        <v>52</v>
      </c>
      <c r="M321" s="1">
        <v>1.3</v>
      </c>
      <c r="N321" s="1">
        <v>12</v>
      </c>
      <c r="O321" s="1">
        <v>45221000</v>
      </c>
      <c r="P321" t="s">
        <v>2281</v>
      </c>
    </row>
    <row r="322" spans="1:16" hidden="1" x14ac:dyDescent="0.3">
      <c r="A322" s="1" t="s">
        <v>800</v>
      </c>
      <c r="B322" s="1" t="s">
        <v>37</v>
      </c>
      <c r="C322" s="1" t="s">
        <v>801</v>
      </c>
      <c r="D322" s="1" t="s">
        <v>39</v>
      </c>
      <c r="E322" s="1" t="s">
        <v>92</v>
      </c>
      <c r="F322" s="1" t="s">
        <v>33</v>
      </c>
      <c r="G322" s="6">
        <v>44725</v>
      </c>
      <c r="H322" s="1">
        <v>2009</v>
      </c>
      <c r="I322" t="s">
        <v>77</v>
      </c>
      <c r="J322" s="1">
        <v>123</v>
      </c>
      <c r="K322" s="1" t="s">
        <v>28</v>
      </c>
      <c r="L322" s="1" t="s">
        <v>41</v>
      </c>
      <c r="M322" s="1">
        <v>5.7</v>
      </c>
      <c r="N322" s="1">
        <v>144.66999999999999</v>
      </c>
      <c r="O322" s="1">
        <v>98671000</v>
      </c>
      <c r="P322" t="s">
        <v>2281</v>
      </c>
    </row>
    <row r="323" spans="1:16" hidden="1" x14ac:dyDescent="0.3">
      <c r="A323" s="1" t="s">
        <v>802</v>
      </c>
      <c r="B323" s="1" t="s">
        <v>37</v>
      </c>
      <c r="C323" s="1" t="s">
        <v>803</v>
      </c>
      <c r="D323" s="1" t="s">
        <v>39</v>
      </c>
      <c r="E323" s="1" t="s">
        <v>75</v>
      </c>
      <c r="F323" s="1" t="s">
        <v>26</v>
      </c>
      <c r="G323" s="6">
        <v>44534</v>
      </c>
      <c r="H323" s="1">
        <v>2006</v>
      </c>
      <c r="I323" t="s">
        <v>89</v>
      </c>
      <c r="J323" s="1">
        <v>68</v>
      </c>
      <c r="K323" s="1" t="s">
        <v>28</v>
      </c>
      <c r="L323" s="1" t="s">
        <v>69</v>
      </c>
      <c r="M323" s="1">
        <v>8.4</v>
      </c>
      <c r="N323" s="1">
        <v>122.51</v>
      </c>
      <c r="O323" s="1">
        <v>88826000</v>
      </c>
      <c r="P323" t="s">
        <v>2281</v>
      </c>
    </row>
    <row r="324" spans="1:16" hidden="1" x14ac:dyDescent="0.3">
      <c r="A324" s="1" t="s">
        <v>804</v>
      </c>
      <c r="B324" s="1" t="s">
        <v>37</v>
      </c>
      <c r="C324" s="1" t="s">
        <v>805</v>
      </c>
      <c r="D324" s="1" t="s">
        <v>16</v>
      </c>
      <c r="E324" s="1" t="s">
        <v>72</v>
      </c>
      <c r="F324" s="1" t="s">
        <v>18</v>
      </c>
      <c r="G324" s="6">
        <v>42756</v>
      </c>
      <c r="H324" s="1">
        <v>1990</v>
      </c>
      <c r="I324" t="s">
        <v>89</v>
      </c>
      <c r="J324" s="1">
        <v>68</v>
      </c>
      <c r="K324" s="1" t="s">
        <v>28</v>
      </c>
      <c r="L324" s="1" t="s">
        <v>35</v>
      </c>
      <c r="M324" s="1">
        <v>2.9</v>
      </c>
      <c r="N324" s="1">
        <v>7.65</v>
      </c>
      <c r="O324" s="1">
        <v>71615000</v>
      </c>
      <c r="P324" t="s">
        <v>2282</v>
      </c>
    </row>
    <row r="325" spans="1:16" x14ac:dyDescent="0.3">
      <c r="A325" s="1" t="s">
        <v>806</v>
      </c>
      <c r="B325" s="1" t="s">
        <v>14</v>
      </c>
      <c r="C325" s="1" t="s">
        <v>807</v>
      </c>
      <c r="D325" s="1" t="s">
        <v>49</v>
      </c>
      <c r="E325" s="1" t="s">
        <v>72</v>
      </c>
      <c r="F325" s="1" t="s">
        <v>26</v>
      </c>
      <c r="G325" s="6">
        <v>44100</v>
      </c>
      <c r="H325" s="1">
        <v>2006</v>
      </c>
      <c r="I325" t="s">
        <v>34</v>
      </c>
      <c r="J325" s="1">
        <v>2</v>
      </c>
      <c r="K325" s="1" t="s">
        <v>20</v>
      </c>
      <c r="L325" s="1" t="s">
        <v>35</v>
      </c>
      <c r="M325" s="1">
        <v>1.7</v>
      </c>
      <c r="N325" s="1">
        <v>81.95</v>
      </c>
      <c r="O325" s="1">
        <v>70570000</v>
      </c>
      <c r="P325" t="s">
        <v>2281</v>
      </c>
    </row>
    <row r="326" spans="1:16" hidden="1" x14ac:dyDescent="0.3">
      <c r="A326" s="1" t="s">
        <v>808</v>
      </c>
      <c r="B326" s="1" t="s">
        <v>37</v>
      </c>
      <c r="C326" s="1" t="s">
        <v>809</v>
      </c>
      <c r="D326" s="1" t="s">
        <v>62</v>
      </c>
      <c r="E326" s="1" t="s">
        <v>40</v>
      </c>
      <c r="F326" s="1" t="s">
        <v>51</v>
      </c>
      <c r="G326" s="6">
        <v>42677</v>
      </c>
      <c r="H326" s="1">
        <v>2003</v>
      </c>
      <c r="I326" t="s">
        <v>89</v>
      </c>
      <c r="J326" s="1">
        <v>86</v>
      </c>
      <c r="K326" s="1" t="s">
        <v>28</v>
      </c>
      <c r="L326" s="1" t="s">
        <v>21</v>
      </c>
      <c r="M326" s="1">
        <v>7.6</v>
      </c>
      <c r="N326" s="1">
        <v>79.69</v>
      </c>
      <c r="O326" s="1">
        <v>7245000</v>
      </c>
      <c r="P326" t="s">
        <v>2282</v>
      </c>
    </row>
    <row r="327" spans="1:16" x14ac:dyDescent="0.3">
      <c r="A327" s="1" t="s">
        <v>810</v>
      </c>
      <c r="B327" s="1" t="s">
        <v>14</v>
      </c>
      <c r="C327" s="1" t="s">
        <v>811</v>
      </c>
      <c r="D327" s="1" t="s">
        <v>62</v>
      </c>
      <c r="E327" s="1" t="s">
        <v>72</v>
      </c>
      <c r="F327" s="1" t="s">
        <v>26</v>
      </c>
      <c r="G327" s="6">
        <v>43317</v>
      </c>
      <c r="H327" s="1">
        <v>2002</v>
      </c>
      <c r="I327" t="s">
        <v>89</v>
      </c>
      <c r="J327" s="1">
        <v>1</v>
      </c>
      <c r="K327" s="1" t="s">
        <v>20</v>
      </c>
      <c r="L327" s="1" t="s">
        <v>41</v>
      </c>
      <c r="M327" s="1">
        <v>9.5</v>
      </c>
      <c r="N327" s="1">
        <v>62.64</v>
      </c>
      <c r="O327" s="1">
        <v>26918000</v>
      </c>
      <c r="P327" t="s">
        <v>2282</v>
      </c>
    </row>
    <row r="328" spans="1:16" x14ac:dyDescent="0.3">
      <c r="A328" s="1" t="s">
        <v>812</v>
      </c>
      <c r="B328" s="1" t="s">
        <v>14</v>
      </c>
      <c r="C328" s="1" t="s">
        <v>813</v>
      </c>
      <c r="D328" s="1" t="s">
        <v>49</v>
      </c>
      <c r="E328" s="1" t="s">
        <v>50</v>
      </c>
      <c r="F328" s="1" t="s">
        <v>51</v>
      </c>
      <c r="G328" s="6">
        <v>42309</v>
      </c>
      <c r="H328" s="1">
        <v>1998</v>
      </c>
      <c r="I328" t="s">
        <v>89</v>
      </c>
      <c r="J328" s="1">
        <v>7</v>
      </c>
      <c r="K328" s="1" t="s">
        <v>20</v>
      </c>
      <c r="L328" s="1" t="s">
        <v>46</v>
      </c>
      <c r="M328" s="1">
        <v>3</v>
      </c>
      <c r="N328" s="1">
        <v>5.39</v>
      </c>
      <c r="O328" s="1">
        <v>61389000</v>
      </c>
      <c r="P328" t="s">
        <v>2281</v>
      </c>
    </row>
    <row r="329" spans="1:16" hidden="1" x14ac:dyDescent="0.3">
      <c r="A329" s="1" t="s">
        <v>814</v>
      </c>
      <c r="B329" s="1" t="s">
        <v>37</v>
      </c>
      <c r="C329" s="1" t="s">
        <v>815</v>
      </c>
      <c r="D329" s="1" t="s">
        <v>49</v>
      </c>
      <c r="E329" s="1" t="s">
        <v>450</v>
      </c>
      <c r="F329" s="1" t="s">
        <v>33</v>
      </c>
      <c r="G329" s="6">
        <v>45246</v>
      </c>
      <c r="H329" s="1">
        <v>2014</v>
      </c>
      <c r="I329" t="s">
        <v>77</v>
      </c>
      <c r="J329" s="1">
        <v>82</v>
      </c>
      <c r="K329" s="1" t="s">
        <v>28</v>
      </c>
      <c r="L329" s="1" t="s">
        <v>41</v>
      </c>
      <c r="M329" s="1">
        <v>3.8</v>
      </c>
      <c r="N329" s="1">
        <v>32.61</v>
      </c>
      <c r="O329" s="1">
        <v>88627000</v>
      </c>
      <c r="P329" t="s">
        <v>2281</v>
      </c>
    </row>
    <row r="330" spans="1:16" x14ac:dyDescent="0.3">
      <c r="A330" s="1" t="s">
        <v>816</v>
      </c>
      <c r="B330" s="1" t="s">
        <v>14</v>
      </c>
      <c r="C330" s="1" t="s">
        <v>817</v>
      </c>
      <c r="D330" s="1" t="s">
        <v>49</v>
      </c>
      <c r="E330" s="1" t="s">
        <v>72</v>
      </c>
      <c r="F330" s="1" t="s">
        <v>45</v>
      </c>
      <c r="G330" s="6">
        <v>44051</v>
      </c>
      <c r="H330" s="1">
        <v>1992</v>
      </c>
      <c r="I330" t="s">
        <v>19</v>
      </c>
      <c r="J330" s="1">
        <v>4</v>
      </c>
      <c r="K330" s="1" t="s">
        <v>20</v>
      </c>
      <c r="L330" s="1" t="s">
        <v>35</v>
      </c>
      <c r="M330" s="1">
        <v>3</v>
      </c>
      <c r="N330" s="1">
        <v>89.85</v>
      </c>
      <c r="O330" s="1">
        <v>2614000</v>
      </c>
      <c r="P330" t="s">
        <v>2281</v>
      </c>
    </row>
    <row r="331" spans="1:16" x14ac:dyDescent="0.3">
      <c r="A331" s="1" t="s">
        <v>818</v>
      </c>
      <c r="B331" s="1" t="s">
        <v>14</v>
      </c>
      <c r="C331" s="1" t="s">
        <v>819</v>
      </c>
      <c r="D331" s="1" t="s">
        <v>62</v>
      </c>
      <c r="E331" s="1" t="s">
        <v>40</v>
      </c>
      <c r="F331" s="1" t="s">
        <v>26</v>
      </c>
      <c r="G331" s="6">
        <v>43097</v>
      </c>
      <c r="H331" s="1">
        <v>2007</v>
      </c>
      <c r="I331" t="s">
        <v>55</v>
      </c>
      <c r="J331" s="1">
        <v>10</v>
      </c>
      <c r="K331" s="1" t="s">
        <v>20</v>
      </c>
      <c r="L331" s="1" t="s">
        <v>46</v>
      </c>
      <c r="M331" s="1">
        <v>1.2</v>
      </c>
      <c r="N331" s="1">
        <v>52.76</v>
      </c>
      <c r="O331" s="1">
        <v>93587000</v>
      </c>
      <c r="P331" t="s">
        <v>2281</v>
      </c>
    </row>
    <row r="332" spans="1:16" x14ac:dyDescent="0.3">
      <c r="A332" s="1" t="s">
        <v>820</v>
      </c>
      <c r="B332" s="1" t="s">
        <v>14</v>
      </c>
      <c r="C332" s="1" t="s">
        <v>821</v>
      </c>
      <c r="D332" s="1" t="s">
        <v>39</v>
      </c>
      <c r="E332" s="1" t="s">
        <v>17</v>
      </c>
      <c r="F332" s="1" t="s">
        <v>45</v>
      </c>
      <c r="G332" s="6">
        <v>44599</v>
      </c>
      <c r="H332" s="1">
        <v>2007</v>
      </c>
      <c r="I332" t="s">
        <v>77</v>
      </c>
      <c r="J332" s="1">
        <v>5</v>
      </c>
      <c r="K332" s="1" t="s">
        <v>20</v>
      </c>
      <c r="L332" s="1" t="s">
        <v>21</v>
      </c>
      <c r="M332" s="1">
        <v>3.7</v>
      </c>
      <c r="N332" s="1">
        <v>119.85</v>
      </c>
      <c r="O332" s="1">
        <v>19462000</v>
      </c>
      <c r="P332" t="s">
        <v>2281</v>
      </c>
    </row>
    <row r="333" spans="1:16" hidden="1" x14ac:dyDescent="0.3">
      <c r="A333" s="1" t="s">
        <v>822</v>
      </c>
      <c r="B333" s="1" t="s">
        <v>37</v>
      </c>
      <c r="C333" s="1" t="s">
        <v>823</v>
      </c>
      <c r="D333" s="1" t="s">
        <v>31</v>
      </c>
      <c r="E333" s="1" t="s">
        <v>824</v>
      </c>
      <c r="F333" s="1" t="s">
        <v>26</v>
      </c>
      <c r="G333" s="6">
        <v>43409</v>
      </c>
      <c r="H333" s="1">
        <v>2000</v>
      </c>
      <c r="I333" t="s">
        <v>19</v>
      </c>
      <c r="J333" s="1">
        <v>75</v>
      </c>
      <c r="K333" s="1" t="s">
        <v>28</v>
      </c>
      <c r="L333" s="1" t="s">
        <v>21</v>
      </c>
      <c r="M333" s="1">
        <v>3.1</v>
      </c>
      <c r="N333" s="1">
        <v>56.42</v>
      </c>
      <c r="O333" s="1">
        <v>28184000</v>
      </c>
      <c r="P333" t="s">
        <v>2281</v>
      </c>
    </row>
    <row r="334" spans="1:16" hidden="1" x14ac:dyDescent="0.3">
      <c r="A334" s="1" t="s">
        <v>825</v>
      </c>
      <c r="B334" s="1" t="s">
        <v>37</v>
      </c>
      <c r="C334" s="1" t="s">
        <v>826</v>
      </c>
      <c r="D334" s="1" t="s">
        <v>31</v>
      </c>
      <c r="E334" s="1" t="s">
        <v>75</v>
      </c>
      <c r="F334" s="1" t="s">
        <v>59</v>
      </c>
      <c r="G334" s="6">
        <v>42874</v>
      </c>
      <c r="H334" s="1">
        <v>1995</v>
      </c>
      <c r="I334" t="s">
        <v>77</v>
      </c>
      <c r="J334" s="1">
        <v>134</v>
      </c>
      <c r="K334" s="1" t="s">
        <v>28</v>
      </c>
      <c r="L334" s="1" t="s">
        <v>46</v>
      </c>
      <c r="M334" s="1">
        <v>3</v>
      </c>
      <c r="N334" s="1">
        <v>102.32</v>
      </c>
      <c r="O334" s="1">
        <v>10519000</v>
      </c>
      <c r="P334" t="s">
        <v>2281</v>
      </c>
    </row>
    <row r="335" spans="1:16" x14ac:dyDescent="0.3">
      <c r="A335" s="1" t="s">
        <v>827</v>
      </c>
      <c r="B335" s="1" t="s">
        <v>14</v>
      </c>
      <c r="C335" s="1" t="s">
        <v>828</v>
      </c>
      <c r="D335" s="1" t="s">
        <v>31</v>
      </c>
      <c r="E335" s="1" t="s">
        <v>829</v>
      </c>
      <c r="F335" s="1" t="s">
        <v>26</v>
      </c>
      <c r="G335" s="6">
        <v>43152</v>
      </c>
      <c r="H335" s="1">
        <v>2000</v>
      </c>
      <c r="I335" t="s">
        <v>34</v>
      </c>
      <c r="J335" s="1">
        <v>5</v>
      </c>
      <c r="K335" s="1" t="s">
        <v>20</v>
      </c>
      <c r="L335" s="1" t="s">
        <v>69</v>
      </c>
      <c r="M335" s="1">
        <v>7.7</v>
      </c>
      <c r="N335" s="1">
        <v>129.41</v>
      </c>
      <c r="O335" s="1">
        <v>63202000</v>
      </c>
      <c r="P335" t="s">
        <v>2282</v>
      </c>
    </row>
    <row r="336" spans="1:16" hidden="1" x14ac:dyDescent="0.3">
      <c r="A336" s="1" t="s">
        <v>830</v>
      </c>
      <c r="B336" s="1" t="s">
        <v>37</v>
      </c>
      <c r="C336" s="1" t="s">
        <v>831</v>
      </c>
      <c r="D336" s="1" t="s">
        <v>16</v>
      </c>
      <c r="E336" s="1" t="s">
        <v>83</v>
      </c>
      <c r="F336" s="1" t="s">
        <v>45</v>
      </c>
      <c r="G336" s="6">
        <v>44967</v>
      </c>
      <c r="H336" s="1">
        <v>2003</v>
      </c>
      <c r="I336" t="s">
        <v>77</v>
      </c>
      <c r="J336" s="1">
        <v>101</v>
      </c>
      <c r="K336" s="1" t="s">
        <v>28</v>
      </c>
      <c r="L336" s="1" t="s">
        <v>46</v>
      </c>
      <c r="M336" s="1">
        <v>6.6</v>
      </c>
      <c r="N336" s="1">
        <v>131.61000000000001</v>
      </c>
      <c r="O336" s="1">
        <v>78358000</v>
      </c>
      <c r="P336" t="s">
        <v>2282</v>
      </c>
    </row>
    <row r="337" spans="1:16" hidden="1" x14ac:dyDescent="0.3">
      <c r="A337" s="1" t="s">
        <v>832</v>
      </c>
      <c r="B337" s="1" t="s">
        <v>37</v>
      </c>
      <c r="C337" s="1" t="s">
        <v>833</v>
      </c>
      <c r="D337" s="1" t="s">
        <v>24</v>
      </c>
      <c r="E337" s="1" t="s">
        <v>166</v>
      </c>
      <c r="F337" s="1" t="s">
        <v>76</v>
      </c>
      <c r="G337" s="6">
        <v>44676</v>
      </c>
      <c r="H337" s="1">
        <v>2017</v>
      </c>
      <c r="I337" t="s">
        <v>55</v>
      </c>
      <c r="J337" s="1">
        <v>136</v>
      </c>
      <c r="K337" s="1" t="s">
        <v>28</v>
      </c>
      <c r="L337" s="1" t="s">
        <v>69</v>
      </c>
      <c r="M337" s="1">
        <v>9.8000000000000007</v>
      </c>
      <c r="N337" s="1">
        <v>5.22</v>
      </c>
      <c r="O337" s="1">
        <v>29870000</v>
      </c>
      <c r="P337" t="s">
        <v>2281</v>
      </c>
    </row>
    <row r="338" spans="1:16" x14ac:dyDescent="0.3">
      <c r="A338" s="1" t="s">
        <v>834</v>
      </c>
      <c r="B338" s="1" t="s">
        <v>14</v>
      </c>
      <c r="C338" s="1" t="s">
        <v>835</v>
      </c>
      <c r="D338" s="1" t="s">
        <v>72</v>
      </c>
      <c r="E338" s="1" t="s">
        <v>72</v>
      </c>
      <c r="F338" s="1" t="s">
        <v>76</v>
      </c>
      <c r="G338" s="6">
        <v>43789</v>
      </c>
      <c r="H338" s="1">
        <v>1998</v>
      </c>
      <c r="I338" t="s">
        <v>55</v>
      </c>
      <c r="J338" s="1">
        <v>9</v>
      </c>
      <c r="K338" s="1" t="s">
        <v>20</v>
      </c>
      <c r="L338" s="1" t="s">
        <v>46</v>
      </c>
      <c r="M338" s="1">
        <v>2.7</v>
      </c>
      <c r="N338" s="1">
        <v>89.66</v>
      </c>
      <c r="O338" s="1">
        <v>56720000</v>
      </c>
      <c r="P338" t="s">
        <v>2282</v>
      </c>
    </row>
    <row r="339" spans="1:16" hidden="1" x14ac:dyDescent="0.3">
      <c r="A339" s="1" t="s">
        <v>836</v>
      </c>
      <c r="B339" s="1" t="s">
        <v>37</v>
      </c>
      <c r="C339" s="1" t="s">
        <v>837</v>
      </c>
      <c r="D339" s="1" t="s">
        <v>31</v>
      </c>
      <c r="E339" s="1" t="s">
        <v>367</v>
      </c>
      <c r="F339" s="1" t="s">
        <v>76</v>
      </c>
      <c r="G339" s="6">
        <v>43510</v>
      </c>
      <c r="H339" s="1">
        <v>2015</v>
      </c>
      <c r="I339" t="s">
        <v>27</v>
      </c>
      <c r="J339" s="1">
        <v>101</v>
      </c>
      <c r="K339" s="1" t="s">
        <v>28</v>
      </c>
      <c r="L339" s="1" t="s">
        <v>21</v>
      </c>
      <c r="M339" s="1">
        <v>4.3</v>
      </c>
      <c r="N339" s="1">
        <v>40.18</v>
      </c>
      <c r="O339" s="1">
        <v>75845000</v>
      </c>
      <c r="P339" t="s">
        <v>2281</v>
      </c>
    </row>
    <row r="340" spans="1:16" hidden="1" x14ac:dyDescent="0.3">
      <c r="A340" s="1" t="s">
        <v>838</v>
      </c>
      <c r="B340" s="1" t="s">
        <v>37</v>
      </c>
      <c r="C340" s="1" t="s">
        <v>839</v>
      </c>
      <c r="D340" s="1" t="s">
        <v>16</v>
      </c>
      <c r="E340" s="1" t="s">
        <v>840</v>
      </c>
      <c r="F340" s="1" t="s">
        <v>26</v>
      </c>
      <c r="G340" s="6">
        <v>42966</v>
      </c>
      <c r="H340" s="1">
        <v>1995</v>
      </c>
      <c r="I340" t="s">
        <v>34</v>
      </c>
      <c r="J340" s="1">
        <v>108</v>
      </c>
      <c r="K340" s="1" t="s">
        <v>28</v>
      </c>
      <c r="L340" s="1" t="s">
        <v>52</v>
      </c>
      <c r="M340" s="1">
        <v>6.5</v>
      </c>
      <c r="N340" s="1">
        <v>95.37</v>
      </c>
      <c r="O340" s="1">
        <v>29795000</v>
      </c>
      <c r="P340" t="s">
        <v>2281</v>
      </c>
    </row>
    <row r="341" spans="1:16" x14ac:dyDescent="0.3">
      <c r="A341" s="1" t="s">
        <v>841</v>
      </c>
      <c r="B341" s="1" t="s">
        <v>14</v>
      </c>
      <c r="C341" s="1" t="s">
        <v>842</v>
      </c>
      <c r="D341" s="1" t="s">
        <v>16</v>
      </c>
      <c r="E341" s="1" t="s">
        <v>843</v>
      </c>
      <c r="F341" s="1" t="s">
        <v>45</v>
      </c>
      <c r="G341" s="6">
        <v>42692</v>
      </c>
      <c r="H341" s="1">
        <v>2014</v>
      </c>
      <c r="I341" t="s">
        <v>19</v>
      </c>
      <c r="J341" s="1">
        <v>7</v>
      </c>
      <c r="K341" s="1" t="s">
        <v>20</v>
      </c>
      <c r="L341" s="1" t="s">
        <v>46</v>
      </c>
      <c r="M341" s="1">
        <v>999</v>
      </c>
      <c r="N341" s="1">
        <v>5.21</v>
      </c>
      <c r="O341" s="1">
        <v>89195000</v>
      </c>
      <c r="P341" t="s">
        <v>2282</v>
      </c>
    </row>
    <row r="342" spans="1:16" hidden="1" x14ac:dyDescent="0.3">
      <c r="A342" s="1" t="s">
        <v>844</v>
      </c>
      <c r="B342" s="1" t="s">
        <v>37</v>
      </c>
      <c r="C342" s="1" t="s">
        <v>845</v>
      </c>
      <c r="D342" s="1" t="s">
        <v>49</v>
      </c>
      <c r="E342" s="1" t="s">
        <v>846</v>
      </c>
      <c r="F342" s="1" t="s">
        <v>33</v>
      </c>
      <c r="G342" s="6">
        <v>43034</v>
      </c>
      <c r="H342" s="1">
        <v>2017</v>
      </c>
      <c r="I342" t="s">
        <v>55</v>
      </c>
      <c r="J342" s="1">
        <v>101</v>
      </c>
      <c r="K342" s="1" t="s">
        <v>28</v>
      </c>
      <c r="L342" s="1" t="s">
        <v>69</v>
      </c>
      <c r="M342" s="1">
        <v>2.2999999999999998</v>
      </c>
      <c r="N342" s="1">
        <v>140.1</v>
      </c>
      <c r="O342" s="1">
        <v>8377000</v>
      </c>
      <c r="P342" t="s">
        <v>2281</v>
      </c>
    </row>
    <row r="343" spans="1:16" hidden="1" x14ac:dyDescent="0.3">
      <c r="A343" s="1" t="s">
        <v>847</v>
      </c>
      <c r="B343" s="1" t="s">
        <v>37</v>
      </c>
      <c r="C343" s="1" t="s">
        <v>848</v>
      </c>
      <c r="D343" s="1" t="s">
        <v>62</v>
      </c>
      <c r="E343" s="1" t="s">
        <v>849</v>
      </c>
      <c r="F343" s="1" t="s">
        <v>45</v>
      </c>
      <c r="G343" s="6">
        <v>44760</v>
      </c>
      <c r="H343" s="1">
        <v>2019</v>
      </c>
      <c r="I343" t="s">
        <v>27</v>
      </c>
      <c r="J343" s="1">
        <v>144</v>
      </c>
      <c r="K343" s="1" t="s">
        <v>28</v>
      </c>
      <c r="L343" s="1" t="s">
        <v>69</v>
      </c>
      <c r="M343" s="1">
        <v>8.4</v>
      </c>
      <c r="N343" s="1">
        <v>117.13</v>
      </c>
      <c r="O343" s="1">
        <v>35707000</v>
      </c>
      <c r="P343" t="s">
        <v>2281</v>
      </c>
    </row>
    <row r="344" spans="1:16" x14ac:dyDescent="0.3">
      <c r="A344" s="1" t="s">
        <v>850</v>
      </c>
      <c r="B344" s="1" t="s">
        <v>14</v>
      </c>
      <c r="C344" s="1" t="s">
        <v>851</v>
      </c>
      <c r="D344" s="1" t="s">
        <v>16</v>
      </c>
      <c r="E344" s="1" t="s">
        <v>17</v>
      </c>
      <c r="F344" s="1" t="s">
        <v>26</v>
      </c>
      <c r="G344" s="6">
        <v>42297</v>
      </c>
      <c r="H344" s="1">
        <v>1996</v>
      </c>
      <c r="I344" t="s">
        <v>77</v>
      </c>
      <c r="J344" s="1">
        <v>5</v>
      </c>
      <c r="K344" s="1" t="s">
        <v>20</v>
      </c>
      <c r="L344" s="1" t="s">
        <v>21</v>
      </c>
      <c r="M344" s="1">
        <v>7.1</v>
      </c>
      <c r="N344" s="1">
        <v>88.27</v>
      </c>
      <c r="O344" s="1">
        <v>40293000</v>
      </c>
      <c r="P344" t="s">
        <v>2282</v>
      </c>
    </row>
    <row r="345" spans="1:16" hidden="1" x14ac:dyDescent="0.3">
      <c r="A345" s="1" t="s">
        <v>852</v>
      </c>
      <c r="B345" s="1" t="s">
        <v>37</v>
      </c>
      <c r="C345" s="1" t="s">
        <v>853</v>
      </c>
      <c r="D345" s="1" t="s">
        <v>24</v>
      </c>
      <c r="E345" s="1" t="s">
        <v>17</v>
      </c>
      <c r="F345" s="1" t="s">
        <v>45</v>
      </c>
      <c r="G345" s="6">
        <v>43969</v>
      </c>
      <c r="H345" s="1">
        <v>1990</v>
      </c>
      <c r="I345" t="s">
        <v>89</v>
      </c>
      <c r="J345" s="1">
        <v>101</v>
      </c>
      <c r="K345" s="1" t="s">
        <v>28</v>
      </c>
      <c r="L345" s="1" t="s">
        <v>52</v>
      </c>
      <c r="M345" s="1">
        <v>6.4</v>
      </c>
      <c r="N345" s="1">
        <v>5.9</v>
      </c>
      <c r="O345" s="1">
        <v>28322000</v>
      </c>
      <c r="P345" t="s">
        <v>2282</v>
      </c>
    </row>
    <row r="346" spans="1:16" hidden="1" x14ac:dyDescent="0.3">
      <c r="A346" s="1" t="s">
        <v>854</v>
      </c>
      <c r="B346" s="1" t="s">
        <v>37</v>
      </c>
      <c r="C346" s="1" t="s">
        <v>855</v>
      </c>
      <c r="D346" s="1" t="s">
        <v>16</v>
      </c>
      <c r="E346" s="1" t="s">
        <v>58</v>
      </c>
      <c r="F346" s="1" t="s">
        <v>26</v>
      </c>
      <c r="G346" s="6">
        <v>44033</v>
      </c>
      <c r="H346" s="1">
        <v>2016</v>
      </c>
      <c r="I346" t="s">
        <v>89</v>
      </c>
      <c r="J346" s="1">
        <v>149</v>
      </c>
      <c r="K346" s="1" t="s">
        <v>28</v>
      </c>
      <c r="L346" s="1" t="s">
        <v>46</v>
      </c>
      <c r="M346" s="1">
        <v>9</v>
      </c>
      <c r="N346" s="1">
        <v>125.67</v>
      </c>
      <c r="O346" s="1">
        <v>9950000</v>
      </c>
      <c r="P346" t="s">
        <v>2281</v>
      </c>
    </row>
    <row r="347" spans="1:16" hidden="1" x14ac:dyDescent="0.3">
      <c r="A347" s="1" t="s">
        <v>856</v>
      </c>
      <c r="B347" s="1" t="s">
        <v>37</v>
      </c>
      <c r="C347" s="1" t="s">
        <v>857</v>
      </c>
      <c r="D347" s="1" t="s">
        <v>39</v>
      </c>
      <c r="E347" s="1" t="s">
        <v>123</v>
      </c>
      <c r="F347" s="1" t="s">
        <v>158</v>
      </c>
      <c r="G347" s="6">
        <v>44242</v>
      </c>
      <c r="H347" s="1">
        <v>2002</v>
      </c>
      <c r="I347" t="s">
        <v>55</v>
      </c>
      <c r="J347" s="1">
        <v>108</v>
      </c>
      <c r="K347" s="1" t="s">
        <v>28</v>
      </c>
      <c r="L347" s="1" t="s">
        <v>21</v>
      </c>
      <c r="M347" s="1">
        <v>6.6</v>
      </c>
      <c r="N347" s="1">
        <v>3.29</v>
      </c>
      <c r="O347" s="1">
        <v>17290000</v>
      </c>
      <c r="P347" t="s">
        <v>2282</v>
      </c>
    </row>
    <row r="348" spans="1:16" hidden="1" x14ac:dyDescent="0.3">
      <c r="A348" s="1" t="s">
        <v>858</v>
      </c>
      <c r="B348" s="1" t="s">
        <v>37</v>
      </c>
      <c r="C348" s="1" t="s">
        <v>859</v>
      </c>
      <c r="D348" s="1" t="s">
        <v>62</v>
      </c>
      <c r="E348" s="1" t="s">
        <v>204</v>
      </c>
      <c r="F348" s="1" t="s">
        <v>51</v>
      </c>
      <c r="G348" s="6">
        <v>43810</v>
      </c>
      <c r="H348" s="1">
        <v>1994</v>
      </c>
      <c r="I348" t="s">
        <v>89</v>
      </c>
      <c r="J348" s="1">
        <v>174</v>
      </c>
      <c r="K348" s="1" t="s">
        <v>28</v>
      </c>
      <c r="L348" s="1" t="s">
        <v>21</v>
      </c>
      <c r="M348" s="1">
        <v>1.4</v>
      </c>
      <c r="N348" s="1">
        <v>38.409999999999997</v>
      </c>
      <c r="O348" s="1">
        <v>95730000</v>
      </c>
      <c r="P348" t="s">
        <v>2282</v>
      </c>
    </row>
    <row r="349" spans="1:16" x14ac:dyDescent="0.3">
      <c r="A349" s="1" t="s">
        <v>860</v>
      </c>
      <c r="B349" s="1" t="s">
        <v>14</v>
      </c>
      <c r="C349" s="1" t="s">
        <v>861</v>
      </c>
      <c r="D349" s="1" t="s">
        <v>62</v>
      </c>
      <c r="E349" s="1" t="s">
        <v>862</v>
      </c>
      <c r="F349" s="1" t="s">
        <v>76</v>
      </c>
      <c r="G349" s="6">
        <v>42072</v>
      </c>
      <c r="H349" s="1">
        <v>2018</v>
      </c>
      <c r="I349" t="s">
        <v>77</v>
      </c>
      <c r="J349" s="1">
        <v>9</v>
      </c>
      <c r="K349" s="1" t="s">
        <v>20</v>
      </c>
      <c r="L349" s="1" t="s">
        <v>46</v>
      </c>
      <c r="M349" s="1">
        <v>7.2</v>
      </c>
      <c r="N349" s="1">
        <v>129.78</v>
      </c>
      <c r="O349" s="1">
        <v>26749000</v>
      </c>
      <c r="P349" t="s">
        <v>2282</v>
      </c>
    </row>
    <row r="350" spans="1:16" hidden="1" x14ac:dyDescent="0.3">
      <c r="A350" s="1" t="s">
        <v>863</v>
      </c>
      <c r="B350" s="1" t="s">
        <v>37</v>
      </c>
      <c r="C350" s="1" t="s">
        <v>864</v>
      </c>
      <c r="D350" s="1" t="s">
        <v>62</v>
      </c>
      <c r="E350" s="1" t="s">
        <v>267</v>
      </c>
      <c r="F350" s="1" t="s">
        <v>158</v>
      </c>
      <c r="G350" s="6">
        <v>43864</v>
      </c>
      <c r="H350" s="1">
        <v>2016</v>
      </c>
      <c r="I350" t="s">
        <v>19</v>
      </c>
      <c r="J350" s="1">
        <v>128</v>
      </c>
      <c r="K350" s="1" t="s">
        <v>28</v>
      </c>
      <c r="L350" s="1" t="s">
        <v>21</v>
      </c>
      <c r="M350" s="1">
        <v>6.3</v>
      </c>
      <c r="N350" s="1">
        <v>61.4</v>
      </c>
      <c r="O350" s="1">
        <v>12676000</v>
      </c>
      <c r="P350" t="s">
        <v>2281</v>
      </c>
    </row>
    <row r="351" spans="1:16" x14ac:dyDescent="0.3">
      <c r="A351" s="1" t="s">
        <v>865</v>
      </c>
      <c r="B351" s="1" t="s">
        <v>14</v>
      </c>
      <c r="C351" s="1" t="s">
        <v>866</v>
      </c>
      <c r="D351" s="1" t="s">
        <v>62</v>
      </c>
      <c r="E351" s="1" t="s">
        <v>17</v>
      </c>
      <c r="F351" s="1" t="s">
        <v>26</v>
      </c>
      <c r="G351" s="6">
        <v>42040</v>
      </c>
      <c r="H351" s="1">
        <v>2013</v>
      </c>
      <c r="I351" t="s">
        <v>89</v>
      </c>
      <c r="J351" s="1">
        <v>1</v>
      </c>
      <c r="K351" s="1" t="s">
        <v>20</v>
      </c>
      <c r="L351" s="1" t="s">
        <v>41</v>
      </c>
      <c r="M351" s="1">
        <v>8</v>
      </c>
      <c r="N351" s="1">
        <v>58.14</v>
      </c>
      <c r="O351" s="1">
        <v>43212000</v>
      </c>
      <c r="P351" t="s">
        <v>2281</v>
      </c>
    </row>
    <row r="352" spans="1:16" x14ac:dyDescent="0.3">
      <c r="A352" s="1" t="s">
        <v>867</v>
      </c>
      <c r="B352" s="1" t="s">
        <v>14</v>
      </c>
      <c r="C352" s="1" t="s">
        <v>868</v>
      </c>
      <c r="D352" s="1" t="s">
        <v>24</v>
      </c>
      <c r="E352" s="1" t="s">
        <v>17</v>
      </c>
      <c r="F352" s="1" t="s">
        <v>26</v>
      </c>
      <c r="G352" s="6">
        <v>42285</v>
      </c>
      <c r="H352" s="1">
        <v>2001</v>
      </c>
      <c r="I352" t="s">
        <v>19</v>
      </c>
      <c r="J352" s="1">
        <v>8</v>
      </c>
      <c r="K352" s="1" t="s">
        <v>20</v>
      </c>
      <c r="L352" s="1" t="s">
        <v>46</v>
      </c>
      <c r="M352" s="1">
        <v>2.2000000000000002</v>
      </c>
      <c r="N352" s="1">
        <v>125.58</v>
      </c>
      <c r="O352" s="1">
        <v>83385000</v>
      </c>
      <c r="P352" t="s">
        <v>2282</v>
      </c>
    </row>
    <row r="353" spans="1:16" x14ac:dyDescent="0.3">
      <c r="A353" s="1" t="s">
        <v>869</v>
      </c>
      <c r="B353" s="1" t="s">
        <v>14</v>
      </c>
      <c r="C353" s="1" t="s">
        <v>870</v>
      </c>
      <c r="D353" s="1" t="s">
        <v>16</v>
      </c>
      <c r="E353" s="1" t="s">
        <v>92</v>
      </c>
      <c r="F353" s="1" t="s">
        <v>18</v>
      </c>
      <c r="G353" s="6">
        <v>42318</v>
      </c>
      <c r="H353" s="1">
        <v>2018</v>
      </c>
      <c r="I353" t="s">
        <v>89</v>
      </c>
      <c r="J353" s="1">
        <v>2</v>
      </c>
      <c r="K353" s="1" t="s">
        <v>20</v>
      </c>
      <c r="L353" s="1" t="s">
        <v>52</v>
      </c>
      <c r="M353" s="1">
        <v>4.2</v>
      </c>
      <c r="N353" s="1">
        <v>12</v>
      </c>
      <c r="O353" s="1">
        <v>72460000</v>
      </c>
      <c r="P353" t="s">
        <v>2281</v>
      </c>
    </row>
    <row r="354" spans="1:16" hidden="1" x14ac:dyDescent="0.3">
      <c r="A354" s="1" t="s">
        <v>871</v>
      </c>
      <c r="B354" s="1" t="s">
        <v>37</v>
      </c>
      <c r="C354" s="1" t="s">
        <v>872</v>
      </c>
      <c r="D354" s="1" t="s">
        <v>39</v>
      </c>
      <c r="E354" s="1" t="s">
        <v>873</v>
      </c>
      <c r="F354" s="1" t="s">
        <v>45</v>
      </c>
      <c r="G354" s="6">
        <v>43141</v>
      </c>
      <c r="H354" s="1">
        <v>2001</v>
      </c>
      <c r="I354" t="s">
        <v>55</v>
      </c>
      <c r="J354" s="1">
        <v>89</v>
      </c>
      <c r="K354" s="1" t="s">
        <v>28</v>
      </c>
      <c r="L354" s="1" t="s">
        <v>69</v>
      </c>
      <c r="M354" s="1">
        <v>3.9</v>
      </c>
      <c r="N354" s="1">
        <v>52.1</v>
      </c>
      <c r="O354" s="1">
        <v>43931000</v>
      </c>
      <c r="P354" t="s">
        <v>2282</v>
      </c>
    </row>
    <row r="355" spans="1:16" hidden="1" x14ac:dyDescent="0.3">
      <c r="A355" s="1" t="s">
        <v>874</v>
      </c>
      <c r="B355" s="1" t="s">
        <v>37</v>
      </c>
      <c r="C355" s="1" t="s">
        <v>875</v>
      </c>
      <c r="D355" s="1" t="s">
        <v>31</v>
      </c>
      <c r="E355" s="1" t="s">
        <v>876</v>
      </c>
      <c r="F355" s="1" t="s">
        <v>51</v>
      </c>
      <c r="G355" s="6">
        <v>43934</v>
      </c>
      <c r="H355" s="1">
        <v>2010</v>
      </c>
      <c r="I355" t="s">
        <v>89</v>
      </c>
      <c r="J355" s="1">
        <v>143</v>
      </c>
      <c r="K355" s="1" t="s">
        <v>28</v>
      </c>
      <c r="L355" s="1" t="s">
        <v>69</v>
      </c>
      <c r="M355" s="1">
        <v>9.6</v>
      </c>
      <c r="N355" s="1">
        <v>54.95</v>
      </c>
      <c r="O355" s="1">
        <v>33373000</v>
      </c>
      <c r="P355" t="s">
        <v>2281</v>
      </c>
    </row>
    <row r="356" spans="1:16" x14ac:dyDescent="0.3">
      <c r="A356" s="1" t="s">
        <v>877</v>
      </c>
      <c r="B356" s="1" t="s">
        <v>14</v>
      </c>
      <c r="C356" s="1" t="s">
        <v>878</v>
      </c>
      <c r="D356" s="1" t="s">
        <v>31</v>
      </c>
      <c r="E356" s="1" t="s">
        <v>133</v>
      </c>
      <c r="F356" s="1" t="s">
        <v>76</v>
      </c>
      <c r="G356" s="6">
        <v>43094</v>
      </c>
      <c r="H356" s="1">
        <v>2005</v>
      </c>
      <c r="I356" t="s">
        <v>19</v>
      </c>
      <c r="J356" s="1">
        <v>3</v>
      </c>
      <c r="K356" s="1" t="s">
        <v>20</v>
      </c>
      <c r="L356" s="1" t="s">
        <v>52</v>
      </c>
      <c r="M356" s="1">
        <v>3.7</v>
      </c>
      <c r="N356" s="1">
        <v>149.03</v>
      </c>
      <c r="O356" s="1">
        <v>63239000</v>
      </c>
      <c r="P356" t="s">
        <v>2282</v>
      </c>
    </row>
    <row r="357" spans="1:16" hidden="1" x14ac:dyDescent="0.3">
      <c r="A357" s="1" t="s">
        <v>879</v>
      </c>
      <c r="B357" s="1" t="s">
        <v>37</v>
      </c>
      <c r="C357" s="1" t="s">
        <v>880</v>
      </c>
      <c r="D357" s="1" t="s">
        <v>16</v>
      </c>
      <c r="E357" s="1" t="s">
        <v>120</v>
      </c>
      <c r="F357" s="1" t="s">
        <v>33</v>
      </c>
      <c r="G357" s="6">
        <v>42644</v>
      </c>
      <c r="H357" s="1">
        <v>1995</v>
      </c>
      <c r="I357" t="s">
        <v>19</v>
      </c>
      <c r="J357" s="1">
        <v>114</v>
      </c>
      <c r="K357" s="1" t="s">
        <v>28</v>
      </c>
      <c r="L357" s="1" t="s">
        <v>41</v>
      </c>
      <c r="M357" s="1">
        <v>1.7</v>
      </c>
      <c r="N357" s="1">
        <v>101.9</v>
      </c>
      <c r="O357" s="1">
        <v>6684000</v>
      </c>
      <c r="P357" t="s">
        <v>2281</v>
      </c>
    </row>
    <row r="358" spans="1:16" x14ac:dyDescent="0.3">
      <c r="A358" s="1" t="s">
        <v>881</v>
      </c>
      <c r="B358" s="1" t="s">
        <v>14</v>
      </c>
      <c r="C358" s="1" t="s">
        <v>882</v>
      </c>
      <c r="D358" s="1" t="s">
        <v>62</v>
      </c>
      <c r="E358" s="1" t="s">
        <v>195</v>
      </c>
      <c r="F358" s="1" t="s">
        <v>76</v>
      </c>
      <c r="G358" s="6">
        <v>44387</v>
      </c>
      <c r="H358" s="1">
        <v>1994</v>
      </c>
      <c r="I358" t="s">
        <v>34</v>
      </c>
      <c r="J358" s="1">
        <v>9</v>
      </c>
      <c r="K358" s="1" t="s">
        <v>20</v>
      </c>
      <c r="L358" s="1" t="s">
        <v>21</v>
      </c>
      <c r="M358" s="1">
        <v>6.6</v>
      </c>
      <c r="N358" s="1">
        <v>13.46</v>
      </c>
      <c r="O358" s="1">
        <v>16745000</v>
      </c>
      <c r="P358" t="s">
        <v>2282</v>
      </c>
    </row>
    <row r="359" spans="1:16" hidden="1" x14ac:dyDescent="0.3">
      <c r="A359" s="1" t="s">
        <v>883</v>
      </c>
      <c r="B359" s="1" t="s">
        <v>37</v>
      </c>
      <c r="C359" s="1" t="s">
        <v>884</v>
      </c>
      <c r="D359" s="1" t="s">
        <v>16</v>
      </c>
      <c r="E359" s="1" t="s">
        <v>235</v>
      </c>
      <c r="F359" s="1" t="s">
        <v>59</v>
      </c>
      <c r="G359" s="6">
        <v>42835</v>
      </c>
      <c r="H359" s="1">
        <v>2005</v>
      </c>
      <c r="I359" t="s">
        <v>89</v>
      </c>
      <c r="J359" s="1">
        <v>113</v>
      </c>
      <c r="K359" s="1" t="s">
        <v>28</v>
      </c>
      <c r="L359" s="1" t="s">
        <v>46</v>
      </c>
      <c r="M359" s="1">
        <v>4.5999999999999996</v>
      </c>
      <c r="N359" s="1">
        <v>76.95</v>
      </c>
      <c r="O359" s="1">
        <v>57683000</v>
      </c>
      <c r="P359" t="s">
        <v>2281</v>
      </c>
    </row>
    <row r="360" spans="1:16" hidden="1" x14ac:dyDescent="0.3">
      <c r="A360" s="1" t="s">
        <v>885</v>
      </c>
      <c r="B360" s="1" t="s">
        <v>37</v>
      </c>
      <c r="C360" s="1" t="s">
        <v>886</v>
      </c>
      <c r="D360" s="1" t="s">
        <v>24</v>
      </c>
      <c r="E360" s="1" t="s">
        <v>354</v>
      </c>
      <c r="F360" s="1" t="s">
        <v>158</v>
      </c>
      <c r="G360" s="6">
        <v>44176</v>
      </c>
      <c r="H360" s="1">
        <v>2010</v>
      </c>
      <c r="I360" t="s">
        <v>77</v>
      </c>
      <c r="J360" s="1">
        <v>145</v>
      </c>
      <c r="K360" s="1" t="s">
        <v>28</v>
      </c>
      <c r="L360" s="1" t="s">
        <v>46</v>
      </c>
      <c r="M360" s="1">
        <v>5.2</v>
      </c>
      <c r="N360" s="1">
        <v>15.12</v>
      </c>
      <c r="O360" s="1">
        <v>50605000</v>
      </c>
      <c r="P360" t="s">
        <v>2282</v>
      </c>
    </row>
    <row r="361" spans="1:16" x14ac:dyDescent="0.3">
      <c r="A361" s="1" t="s">
        <v>887</v>
      </c>
      <c r="B361" s="1" t="s">
        <v>14</v>
      </c>
      <c r="C361" s="1" t="s">
        <v>888</v>
      </c>
      <c r="D361" s="1" t="s">
        <v>39</v>
      </c>
      <c r="E361" s="1" t="s">
        <v>32</v>
      </c>
      <c r="F361" s="1" t="s">
        <v>76</v>
      </c>
      <c r="G361" s="6">
        <v>43052</v>
      </c>
      <c r="H361" s="1">
        <v>2014</v>
      </c>
      <c r="I361" t="s">
        <v>27</v>
      </c>
      <c r="J361" s="1">
        <v>8</v>
      </c>
      <c r="K361" s="1" t="s">
        <v>20</v>
      </c>
      <c r="L361" s="1" t="s">
        <v>21</v>
      </c>
      <c r="M361" s="1">
        <v>1.3</v>
      </c>
      <c r="N361" s="1">
        <v>56.22</v>
      </c>
      <c r="O361" s="1">
        <v>62851000</v>
      </c>
      <c r="P361" t="s">
        <v>2281</v>
      </c>
    </row>
    <row r="362" spans="1:16" x14ac:dyDescent="0.3">
      <c r="A362" s="1" t="s">
        <v>889</v>
      </c>
      <c r="B362" s="1" t="s">
        <v>14</v>
      </c>
      <c r="C362" s="1" t="s">
        <v>890</v>
      </c>
      <c r="D362" s="1" t="s">
        <v>16</v>
      </c>
      <c r="E362" s="1" t="s">
        <v>17</v>
      </c>
      <c r="F362" s="1" t="s">
        <v>26</v>
      </c>
      <c r="G362" s="6">
        <v>44745</v>
      </c>
      <c r="H362" s="1">
        <v>2006</v>
      </c>
      <c r="I362" t="s">
        <v>77</v>
      </c>
      <c r="J362" s="1">
        <v>10</v>
      </c>
      <c r="K362" s="1" t="s">
        <v>20</v>
      </c>
      <c r="L362" s="1" t="s">
        <v>52</v>
      </c>
      <c r="M362" s="1">
        <v>1.1000000000000001</v>
      </c>
      <c r="N362" s="1">
        <v>49.58</v>
      </c>
      <c r="O362" s="1">
        <v>91522000</v>
      </c>
      <c r="P362" t="s">
        <v>2281</v>
      </c>
    </row>
    <row r="363" spans="1:16" hidden="1" x14ac:dyDescent="0.3">
      <c r="A363" s="1" t="s">
        <v>891</v>
      </c>
      <c r="B363" s="1" t="s">
        <v>37</v>
      </c>
      <c r="C363" s="1" t="s">
        <v>892</v>
      </c>
      <c r="D363" s="1" t="s">
        <v>49</v>
      </c>
      <c r="E363" s="1" t="s">
        <v>63</v>
      </c>
      <c r="F363" s="1" t="s">
        <v>45</v>
      </c>
      <c r="G363" s="6">
        <v>42717</v>
      </c>
      <c r="H363" s="1">
        <v>2018</v>
      </c>
      <c r="I363" t="s">
        <v>89</v>
      </c>
      <c r="J363" s="1">
        <v>93</v>
      </c>
      <c r="K363" s="1" t="s">
        <v>28</v>
      </c>
      <c r="L363" s="1" t="s">
        <v>21</v>
      </c>
      <c r="M363" s="1">
        <v>8.8000000000000007</v>
      </c>
      <c r="N363" s="1">
        <v>9.41</v>
      </c>
      <c r="O363" s="1">
        <v>1661000</v>
      </c>
      <c r="P363" t="s">
        <v>2281</v>
      </c>
    </row>
    <row r="364" spans="1:16" hidden="1" x14ac:dyDescent="0.3">
      <c r="A364" s="1" t="s">
        <v>893</v>
      </c>
      <c r="B364" s="1" t="s">
        <v>37</v>
      </c>
      <c r="C364" s="1" t="s">
        <v>894</v>
      </c>
      <c r="D364" s="1" t="s">
        <v>24</v>
      </c>
      <c r="E364" s="1" t="s">
        <v>895</v>
      </c>
      <c r="F364" s="1" t="s">
        <v>26</v>
      </c>
      <c r="G364" s="6">
        <v>43571</v>
      </c>
      <c r="H364" s="1">
        <v>1997</v>
      </c>
      <c r="I364" t="s">
        <v>19</v>
      </c>
      <c r="J364" s="1">
        <v>133</v>
      </c>
      <c r="K364" s="1" t="s">
        <v>28</v>
      </c>
      <c r="L364" s="1" t="s">
        <v>35</v>
      </c>
      <c r="M364" s="1">
        <v>2.1</v>
      </c>
      <c r="N364" s="1">
        <v>65.91</v>
      </c>
      <c r="O364" s="1">
        <v>63293000</v>
      </c>
      <c r="P364" t="s">
        <v>2281</v>
      </c>
    </row>
    <row r="365" spans="1:16" x14ac:dyDescent="0.3">
      <c r="A365" s="1" t="s">
        <v>896</v>
      </c>
      <c r="B365" s="1" t="s">
        <v>14</v>
      </c>
      <c r="C365" s="1" t="s">
        <v>897</v>
      </c>
      <c r="D365" s="1" t="s">
        <v>16</v>
      </c>
      <c r="E365" s="1" t="s">
        <v>898</v>
      </c>
      <c r="F365" s="1" t="s">
        <v>51</v>
      </c>
      <c r="G365" s="6">
        <v>44461</v>
      </c>
      <c r="H365" s="1">
        <v>1994</v>
      </c>
      <c r="I365" t="s">
        <v>89</v>
      </c>
      <c r="J365" s="1">
        <v>3</v>
      </c>
      <c r="K365" s="1" t="s">
        <v>20</v>
      </c>
      <c r="L365" s="1" t="s">
        <v>46</v>
      </c>
      <c r="M365" s="1">
        <v>8.6</v>
      </c>
      <c r="N365" s="1">
        <v>132.55000000000001</v>
      </c>
      <c r="O365" s="1">
        <v>75670000</v>
      </c>
      <c r="P365" t="s">
        <v>2282</v>
      </c>
    </row>
    <row r="366" spans="1:16" hidden="1" x14ac:dyDescent="0.3">
      <c r="A366" s="1" t="s">
        <v>899</v>
      </c>
      <c r="B366" s="1" t="s">
        <v>37</v>
      </c>
      <c r="C366" s="1" t="s">
        <v>900</v>
      </c>
      <c r="D366" s="1" t="s">
        <v>31</v>
      </c>
      <c r="E366" s="1" t="s">
        <v>75</v>
      </c>
      <c r="F366" s="1" t="s">
        <v>76</v>
      </c>
      <c r="G366" s="6">
        <v>44563</v>
      </c>
      <c r="H366" s="1">
        <v>2008</v>
      </c>
      <c r="I366" t="s">
        <v>34</v>
      </c>
      <c r="J366" s="1">
        <v>87</v>
      </c>
      <c r="K366" s="1" t="s">
        <v>28</v>
      </c>
      <c r="L366" s="1" t="s">
        <v>41</v>
      </c>
      <c r="M366" s="1">
        <v>9.8000000000000007</v>
      </c>
      <c r="N366" s="1">
        <v>2.0699999999999998</v>
      </c>
      <c r="O366" s="1">
        <v>9747000</v>
      </c>
      <c r="P366" t="s">
        <v>2282</v>
      </c>
    </row>
    <row r="367" spans="1:16" x14ac:dyDescent="0.3">
      <c r="A367" s="1" t="s">
        <v>901</v>
      </c>
      <c r="B367" s="1" t="s">
        <v>14</v>
      </c>
      <c r="C367" s="1" t="s">
        <v>902</v>
      </c>
      <c r="D367" s="1" t="s">
        <v>24</v>
      </c>
      <c r="E367" s="1" t="s">
        <v>17</v>
      </c>
      <c r="F367" s="1" t="s">
        <v>59</v>
      </c>
      <c r="G367" s="6">
        <v>44749</v>
      </c>
      <c r="H367" s="1">
        <v>2009</v>
      </c>
      <c r="I367" t="s">
        <v>27</v>
      </c>
      <c r="J367" s="1">
        <v>9</v>
      </c>
      <c r="K367" s="1" t="s">
        <v>20</v>
      </c>
      <c r="L367" s="1" t="s">
        <v>52</v>
      </c>
      <c r="M367" s="1">
        <v>5.6</v>
      </c>
      <c r="N367" s="1">
        <v>29.33</v>
      </c>
      <c r="O367" s="1">
        <v>63615000</v>
      </c>
      <c r="P367" t="s">
        <v>2281</v>
      </c>
    </row>
    <row r="368" spans="1:16" hidden="1" x14ac:dyDescent="0.3">
      <c r="A368" s="1" t="s">
        <v>903</v>
      </c>
      <c r="B368" s="1" t="s">
        <v>37</v>
      </c>
      <c r="C368" s="1" t="s">
        <v>904</v>
      </c>
      <c r="D368" s="1" t="s">
        <v>62</v>
      </c>
      <c r="E368" s="1" t="s">
        <v>72</v>
      </c>
      <c r="F368" s="1" t="s">
        <v>51</v>
      </c>
      <c r="G368" s="6">
        <v>43440</v>
      </c>
      <c r="H368" s="1">
        <v>2000</v>
      </c>
      <c r="I368" t="s">
        <v>55</v>
      </c>
      <c r="J368" s="1">
        <v>138</v>
      </c>
      <c r="K368" s="1" t="s">
        <v>28</v>
      </c>
      <c r="L368" s="1" t="s">
        <v>35</v>
      </c>
      <c r="M368" s="1">
        <v>7.2</v>
      </c>
      <c r="N368" s="1">
        <v>97.5</v>
      </c>
      <c r="O368" s="1">
        <v>98451000</v>
      </c>
      <c r="P368" t="s">
        <v>2282</v>
      </c>
    </row>
    <row r="369" spans="1:16" x14ac:dyDescent="0.3">
      <c r="A369" s="1" t="s">
        <v>905</v>
      </c>
      <c r="B369" s="1" t="s">
        <v>14</v>
      </c>
      <c r="C369" s="1" t="s">
        <v>906</v>
      </c>
      <c r="D369" s="1" t="s">
        <v>24</v>
      </c>
      <c r="E369" s="1" t="s">
        <v>400</v>
      </c>
      <c r="F369" s="1" t="s">
        <v>33</v>
      </c>
      <c r="G369" s="6">
        <v>44154</v>
      </c>
      <c r="H369" s="1">
        <v>1991</v>
      </c>
      <c r="I369" t="s">
        <v>55</v>
      </c>
      <c r="J369" s="1">
        <v>7</v>
      </c>
      <c r="K369" s="1" t="s">
        <v>20</v>
      </c>
      <c r="L369" s="1" t="s">
        <v>41</v>
      </c>
      <c r="M369" s="1">
        <v>8.1</v>
      </c>
      <c r="N369" s="1">
        <v>16.100000000000001</v>
      </c>
      <c r="O369" s="1">
        <v>29776000</v>
      </c>
      <c r="P369" t="s">
        <v>2281</v>
      </c>
    </row>
    <row r="370" spans="1:16" hidden="1" x14ac:dyDescent="0.3">
      <c r="A370" s="1" t="s">
        <v>907</v>
      </c>
      <c r="B370" s="1" t="s">
        <v>37</v>
      </c>
      <c r="C370" s="1" t="s">
        <v>908</v>
      </c>
      <c r="D370" s="1" t="s">
        <v>62</v>
      </c>
      <c r="E370" s="1" t="s">
        <v>295</v>
      </c>
      <c r="F370" s="1" t="s">
        <v>59</v>
      </c>
      <c r="G370" s="6">
        <v>42469</v>
      </c>
      <c r="H370" s="1">
        <v>2008</v>
      </c>
      <c r="I370" t="s">
        <v>27</v>
      </c>
      <c r="J370" s="1">
        <v>137</v>
      </c>
      <c r="K370" s="1" t="s">
        <v>28</v>
      </c>
      <c r="L370" s="1" t="s">
        <v>46</v>
      </c>
      <c r="M370" s="1">
        <v>9.3000000000000007</v>
      </c>
      <c r="N370" s="1">
        <v>57.33</v>
      </c>
      <c r="O370" s="1">
        <v>76748000</v>
      </c>
      <c r="P370" t="s">
        <v>2282</v>
      </c>
    </row>
    <row r="371" spans="1:16" x14ac:dyDescent="0.3">
      <c r="A371" s="1" t="s">
        <v>909</v>
      </c>
      <c r="B371" s="1" t="s">
        <v>14</v>
      </c>
      <c r="C371" s="1" t="s">
        <v>910</v>
      </c>
      <c r="D371" s="1" t="s">
        <v>49</v>
      </c>
      <c r="E371" s="1" t="s">
        <v>17</v>
      </c>
      <c r="F371" s="1" t="s">
        <v>33</v>
      </c>
      <c r="G371" s="6">
        <v>45290</v>
      </c>
      <c r="H371" s="1">
        <v>2010</v>
      </c>
      <c r="I371" t="s">
        <v>19</v>
      </c>
      <c r="J371" s="1">
        <v>2</v>
      </c>
      <c r="K371" s="1" t="s">
        <v>20</v>
      </c>
      <c r="L371" s="1" t="s">
        <v>52</v>
      </c>
      <c r="M371" s="1">
        <v>1.7</v>
      </c>
      <c r="N371" s="1">
        <v>143.38</v>
      </c>
      <c r="O371" s="1">
        <v>19381000</v>
      </c>
      <c r="P371" t="s">
        <v>2282</v>
      </c>
    </row>
    <row r="372" spans="1:16" hidden="1" x14ac:dyDescent="0.3">
      <c r="A372" s="1" t="s">
        <v>911</v>
      </c>
      <c r="B372" s="1" t="s">
        <v>37</v>
      </c>
      <c r="C372" s="1" t="s">
        <v>912</v>
      </c>
      <c r="D372" s="1" t="s">
        <v>16</v>
      </c>
      <c r="E372" s="1" t="s">
        <v>435</v>
      </c>
      <c r="F372" s="1" t="s">
        <v>26</v>
      </c>
      <c r="G372" s="6">
        <v>43638</v>
      </c>
      <c r="H372" s="1">
        <v>2007</v>
      </c>
      <c r="I372" t="s">
        <v>27</v>
      </c>
      <c r="J372" s="1">
        <v>168</v>
      </c>
      <c r="K372" s="1" t="s">
        <v>28</v>
      </c>
      <c r="L372" s="1" t="s">
        <v>21</v>
      </c>
      <c r="M372" s="1">
        <v>3</v>
      </c>
      <c r="N372" s="1">
        <v>56.97</v>
      </c>
      <c r="O372" s="1">
        <v>45104000</v>
      </c>
      <c r="P372" t="s">
        <v>2281</v>
      </c>
    </row>
    <row r="373" spans="1:16" hidden="1" x14ac:dyDescent="0.3">
      <c r="A373" s="1" t="s">
        <v>913</v>
      </c>
      <c r="B373" s="1" t="s">
        <v>37</v>
      </c>
      <c r="C373" s="1" t="s">
        <v>914</v>
      </c>
      <c r="D373" s="1" t="s">
        <v>24</v>
      </c>
      <c r="E373" s="1" t="s">
        <v>72</v>
      </c>
      <c r="F373" s="1" t="s">
        <v>76</v>
      </c>
      <c r="G373" s="6">
        <v>44263</v>
      </c>
      <c r="H373" s="1">
        <v>2017</v>
      </c>
      <c r="I373" t="s">
        <v>89</v>
      </c>
      <c r="J373" s="1">
        <v>74</v>
      </c>
      <c r="K373" s="1" t="s">
        <v>28</v>
      </c>
      <c r="L373" s="1" t="s">
        <v>69</v>
      </c>
      <c r="M373" s="1">
        <v>4.8</v>
      </c>
      <c r="N373" s="1">
        <v>97.15</v>
      </c>
      <c r="O373" s="1">
        <v>85751000</v>
      </c>
      <c r="P373" t="s">
        <v>2281</v>
      </c>
    </row>
    <row r="374" spans="1:16" x14ac:dyDescent="0.3">
      <c r="A374" s="1" t="s">
        <v>915</v>
      </c>
      <c r="B374" s="1" t="s">
        <v>14</v>
      </c>
      <c r="C374" s="1" t="s">
        <v>916</v>
      </c>
      <c r="D374" s="1" t="s">
        <v>72</v>
      </c>
      <c r="E374" s="1" t="s">
        <v>72</v>
      </c>
      <c r="F374" s="1" t="s">
        <v>26</v>
      </c>
      <c r="G374" s="6">
        <v>43493</v>
      </c>
      <c r="H374" s="1">
        <v>2009</v>
      </c>
      <c r="I374" t="s">
        <v>34</v>
      </c>
      <c r="J374" s="1">
        <v>8</v>
      </c>
      <c r="K374" s="1" t="s">
        <v>20</v>
      </c>
      <c r="L374" s="1" t="s">
        <v>69</v>
      </c>
      <c r="M374" s="1">
        <v>1.5</v>
      </c>
      <c r="N374" s="1">
        <v>115.1</v>
      </c>
      <c r="O374" s="1">
        <v>54366000</v>
      </c>
      <c r="P374" t="s">
        <v>2281</v>
      </c>
    </row>
    <row r="375" spans="1:16" x14ac:dyDescent="0.3">
      <c r="A375" s="1" t="s">
        <v>917</v>
      </c>
      <c r="B375" s="1" t="s">
        <v>14</v>
      </c>
      <c r="C375" s="1" t="s">
        <v>918</v>
      </c>
      <c r="D375" s="1" t="s">
        <v>72</v>
      </c>
      <c r="E375" s="1" t="s">
        <v>63</v>
      </c>
      <c r="F375" s="1" t="s">
        <v>76</v>
      </c>
      <c r="G375" s="6">
        <v>42346</v>
      </c>
      <c r="H375" s="1">
        <v>2021</v>
      </c>
      <c r="I375" t="s">
        <v>77</v>
      </c>
      <c r="J375" s="1">
        <v>1</v>
      </c>
      <c r="K375" s="1" t="s">
        <v>20</v>
      </c>
      <c r="L375" s="1" t="s">
        <v>41</v>
      </c>
      <c r="M375" s="1">
        <v>4.7</v>
      </c>
      <c r="N375" s="1">
        <v>82.72</v>
      </c>
      <c r="O375" s="1">
        <v>82715000</v>
      </c>
      <c r="P375" t="s">
        <v>2281</v>
      </c>
    </row>
    <row r="376" spans="1:16" hidden="1" x14ac:dyDescent="0.3">
      <c r="A376" s="1" t="s">
        <v>919</v>
      </c>
      <c r="B376" s="1" t="s">
        <v>37</v>
      </c>
      <c r="C376" s="1" t="s">
        <v>920</v>
      </c>
      <c r="D376" s="1" t="s">
        <v>72</v>
      </c>
      <c r="E376" s="1" t="s">
        <v>40</v>
      </c>
      <c r="F376" s="1" t="s">
        <v>45</v>
      </c>
      <c r="G376" s="6">
        <v>43638</v>
      </c>
      <c r="H376" s="1">
        <v>2015</v>
      </c>
      <c r="I376" t="s">
        <v>55</v>
      </c>
      <c r="J376" s="1">
        <v>113</v>
      </c>
      <c r="K376" s="1" t="s">
        <v>28</v>
      </c>
      <c r="L376" s="1" t="s">
        <v>35</v>
      </c>
      <c r="M376" s="1">
        <v>6.6</v>
      </c>
      <c r="N376" s="1">
        <v>77.63</v>
      </c>
      <c r="O376" s="1">
        <v>54250000</v>
      </c>
      <c r="P376" t="s">
        <v>2281</v>
      </c>
    </row>
    <row r="377" spans="1:16" hidden="1" x14ac:dyDescent="0.3">
      <c r="A377" s="1" t="s">
        <v>921</v>
      </c>
      <c r="B377" s="1" t="s">
        <v>37</v>
      </c>
      <c r="C377" s="1" t="s">
        <v>922</v>
      </c>
      <c r="D377" s="1" t="s">
        <v>49</v>
      </c>
      <c r="E377" s="1" t="s">
        <v>111</v>
      </c>
      <c r="F377" s="1" t="s">
        <v>76</v>
      </c>
      <c r="G377" s="6">
        <v>42258</v>
      </c>
      <c r="H377" s="1">
        <v>1991</v>
      </c>
      <c r="I377" t="s">
        <v>77</v>
      </c>
      <c r="J377" s="1">
        <v>166</v>
      </c>
      <c r="K377" s="1" t="s">
        <v>28</v>
      </c>
      <c r="L377" s="1" t="s">
        <v>41</v>
      </c>
      <c r="M377" s="1">
        <v>7.3</v>
      </c>
      <c r="N377" s="1">
        <v>98.9</v>
      </c>
      <c r="O377" s="1">
        <v>91206000</v>
      </c>
      <c r="P377" t="s">
        <v>2282</v>
      </c>
    </row>
    <row r="378" spans="1:16" x14ac:dyDescent="0.3">
      <c r="A378" s="1" t="s">
        <v>923</v>
      </c>
      <c r="B378" s="1" t="s">
        <v>14</v>
      </c>
      <c r="C378" s="1" t="s">
        <v>924</v>
      </c>
      <c r="D378" s="1" t="s">
        <v>31</v>
      </c>
      <c r="E378" s="1" t="s">
        <v>72</v>
      </c>
      <c r="F378" s="1" t="s">
        <v>18</v>
      </c>
      <c r="G378" s="6">
        <v>44479</v>
      </c>
      <c r="H378" s="1">
        <v>2011</v>
      </c>
      <c r="I378" t="s">
        <v>89</v>
      </c>
      <c r="J378" s="1">
        <v>9</v>
      </c>
      <c r="K378" s="1" t="s">
        <v>20</v>
      </c>
      <c r="L378" s="1" t="s">
        <v>52</v>
      </c>
      <c r="M378" s="1">
        <v>8.3000000000000007</v>
      </c>
      <c r="N378" s="1">
        <v>26.83</v>
      </c>
      <c r="O378" s="1">
        <v>28358000</v>
      </c>
      <c r="P378" t="s">
        <v>2281</v>
      </c>
    </row>
    <row r="379" spans="1:16" x14ac:dyDescent="0.3">
      <c r="A379" s="1" t="s">
        <v>925</v>
      </c>
      <c r="B379" s="1" t="s">
        <v>14</v>
      </c>
      <c r="C379" s="1" t="s">
        <v>926</v>
      </c>
      <c r="D379" s="1" t="s">
        <v>24</v>
      </c>
      <c r="E379" s="1" t="s">
        <v>120</v>
      </c>
      <c r="F379" s="1" t="s">
        <v>18</v>
      </c>
      <c r="G379" s="6">
        <v>42491</v>
      </c>
      <c r="H379" s="1">
        <v>2005</v>
      </c>
      <c r="I379" t="s">
        <v>77</v>
      </c>
      <c r="J379" s="1">
        <v>9</v>
      </c>
      <c r="K379" s="1" t="s">
        <v>20</v>
      </c>
      <c r="L379" s="1" t="s">
        <v>52</v>
      </c>
      <c r="M379" s="1">
        <v>8.6</v>
      </c>
      <c r="N379" s="1">
        <v>45.81</v>
      </c>
      <c r="O379" s="1">
        <v>35821000</v>
      </c>
      <c r="P379" t="s">
        <v>2281</v>
      </c>
    </row>
    <row r="380" spans="1:16" hidden="1" x14ac:dyDescent="0.3">
      <c r="A380" s="1" t="s">
        <v>927</v>
      </c>
      <c r="B380" s="1" t="s">
        <v>37</v>
      </c>
      <c r="C380" s="1" t="s">
        <v>928</v>
      </c>
      <c r="D380" s="1" t="s">
        <v>72</v>
      </c>
      <c r="E380" s="1" t="s">
        <v>163</v>
      </c>
      <c r="F380" s="1" t="s">
        <v>76</v>
      </c>
      <c r="G380" s="6">
        <v>42998</v>
      </c>
      <c r="H380" s="1">
        <v>2001</v>
      </c>
      <c r="I380" t="s">
        <v>19</v>
      </c>
      <c r="J380" s="1">
        <v>126</v>
      </c>
      <c r="K380" s="1" t="s">
        <v>28</v>
      </c>
      <c r="L380" s="1" t="s">
        <v>52</v>
      </c>
      <c r="M380" s="1">
        <v>2.7</v>
      </c>
      <c r="N380" s="1">
        <v>104.74</v>
      </c>
      <c r="O380" s="1">
        <v>52955000</v>
      </c>
      <c r="P380" t="s">
        <v>2282</v>
      </c>
    </row>
    <row r="381" spans="1:16" hidden="1" x14ac:dyDescent="0.3">
      <c r="A381" s="1" t="s">
        <v>929</v>
      </c>
      <c r="B381" s="1" t="s">
        <v>37</v>
      </c>
      <c r="C381" s="1" t="s">
        <v>930</v>
      </c>
      <c r="D381" s="1" t="s">
        <v>49</v>
      </c>
      <c r="E381" s="1" t="s">
        <v>40</v>
      </c>
      <c r="F381" s="1" t="s">
        <v>76</v>
      </c>
      <c r="G381" s="6">
        <v>42409</v>
      </c>
      <c r="H381" s="1">
        <v>2019</v>
      </c>
      <c r="I381" t="s">
        <v>77</v>
      </c>
      <c r="J381" s="1">
        <v>88</v>
      </c>
      <c r="K381" s="1" t="s">
        <v>28</v>
      </c>
      <c r="L381" s="1" t="s">
        <v>21</v>
      </c>
      <c r="M381" s="1">
        <v>999</v>
      </c>
      <c r="N381" s="1">
        <v>50.13</v>
      </c>
      <c r="O381" s="1">
        <v>47211000</v>
      </c>
      <c r="P381" t="s">
        <v>2282</v>
      </c>
    </row>
    <row r="382" spans="1:16" hidden="1" x14ac:dyDescent="0.3">
      <c r="A382" s="1" t="s">
        <v>931</v>
      </c>
      <c r="B382" s="1" t="s">
        <v>37</v>
      </c>
      <c r="C382" s="1" t="s">
        <v>932</v>
      </c>
      <c r="D382" s="1" t="s">
        <v>39</v>
      </c>
      <c r="E382" s="1" t="s">
        <v>141</v>
      </c>
      <c r="F382" s="1" t="s">
        <v>51</v>
      </c>
      <c r="G382" s="6">
        <v>42993</v>
      </c>
      <c r="H382" s="1">
        <v>2016</v>
      </c>
      <c r="I382" t="s">
        <v>89</v>
      </c>
      <c r="J382" s="1">
        <v>177</v>
      </c>
      <c r="K382" s="1" t="s">
        <v>28</v>
      </c>
      <c r="L382" s="1" t="s">
        <v>21</v>
      </c>
      <c r="M382" s="1">
        <v>4</v>
      </c>
      <c r="N382" s="1">
        <v>144.93</v>
      </c>
      <c r="O382" s="1">
        <v>53371000</v>
      </c>
      <c r="P382" t="s">
        <v>2281</v>
      </c>
    </row>
    <row r="383" spans="1:16" hidden="1" x14ac:dyDescent="0.3">
      <c r="A383" s="1" t="s">
        <v>933</v>
      </c>
      <c r="B383" s="1" t="s">
        <v>37</v>
      </c>
      <c r="C383" s="1" t="s">
        <v>934</v>
      </c>
      <c r="D383" s="1" t="s">
        <v>16</v>
      </c>
      <c r="E383" s="1" t="s">
        <v>722</v>
      </c>
      <c r="F383" s="1" t="s">
        <v>18</v>
      </c>
      <c r="G383" s="6">
        <v>44453</v>
      </c>
      <c r="H383" s="1">
        <v>2001</v>
      </c>
      <c r="I383" t="s">
        <v>19</v>
      </c>
      <c r="J383" s="1">
        <v>160</v>
      </c>
      <c r="K383" s="1" t="s">
        <v>28</v>
      </c>
      <c r="L383" s="1" t="s">
        <v>21</v>
      </c>
      <c r="M383" s="1">
        <v>6.4</v>
      </c>
      <c r="N383" s="1">
        <v>103.42</v>
      </c>
      <c r="O383" s="1">
        <v>74794000</v>
      </c>
      <c r="P383" t="s">
        <v>2281</v>
      </c>
    </row>
    <row r="384" spans="1:16" hidden="1" x14ac:dyDescent="0.3">
      <c r="A384" s="1" t="s">
        <v>935</v>
      </c>
      <c r="B384" s="1" t="s">
        <v>37</v>
      </c>
      <c r="C384" s="1" t="s">
        <v>936</v>
      </c>
      <c r="D384" s="1" t="s">
        <v>16</v>
      </c>
      <c r="E384" s="1" t="s">
        <v>204</v>
      </c>
      <c r="F384" s="1" t="s">
        <v>45</v>
      </c>
      <c r="G384" s="6">
        <v>42934</v>
      </c>
      <c r="H384" s="1">
        <v>1997</v>
      </c>
      <c r="I384" t="s">
        <v>89</v>
      </c>
      <c r="J384" s="1">
        <v>144</v>
      </c>
      <c r="K384" s="1" t="s">
        <v>28</v>
      </c>
      <c r="L384" s="1" t="s">
        <v>52</v>
      </c>
      <c r="M384" s="1">
        <v>4.5</v>
      </c>
      <c r="N384" s="1">
        <v>142.51</v>
      </c>
      <c r="O384" s="1">
        <v>9484000</v>
      </c>
      <c r="P384" t="s">
        <v>2281</v>
      </c>
    </row>
    <row r="385" spans="1:16" hidden="1" x14ac:dyDescent="0.3">
      <c r="A385" s="1" t="s">
        <v>937</v>
      </c>
      <c r="B385" s="1" t="s">
        <v>37</v>
      </c>
      <c r="C385" s="1" t="s">
        <v>938</v>
      </c>
      <c r="D385" s="1" t="s">
        <v>31</v>
      </c>
      <c r="E385" s="1" t="s">
        <v>72</v>
      </c>
      <c r="F385" s="1" t="s">
        <v>158</v>
      </c>
      <c r="G385" s="6">
        <v>43326</v>
      </c>
      <c r="H385" s="1">
        <v>2023</v>
      </c>
      <c r="I385" t="s">
        <v>55</v>
      </c>
      <c r="J385" s="1">
        <v>105</v>
      </c>
      <c r="K385" s="1" t="s">
        <v>28</v>
      </c>
      <c r="L385" s="1" t="s">
        <v>21</v>
      </c>
      <c r="M385" s="1">
        <v>3.1</v>
      </c>
      <c r="N385" s="1">
        <v>146.41</v>
      </c>
      <c r="O385" s="1">
        <v>49703000</v>
      </c>
      <c r="P385" t="s">
        <v>2281</v>
      </c>
    </row>
    <row r="386" spans="1:16" hidden="1" x14ac:dyDescent="0.3">
      <c r="A386" s="1" t="s">
        <v>939</v>
      </c>
      <c r="B386" s="1" t="s">
        <v>37</v>
      </c>
      <c r="C386" s="1" t="s">
        <v>940</v>
      </c>
      <c r="D386" s="1" t="s">
        <v>39</v>
      </c>
      <c r="E386" s="1" t="s">
        <v>40</v>
      </c>
      <c r="F386" s="1" t="s">
        <v>59</v>
      </c>
      <c r="G386" s="6">
        <v>42732</v>
      </c>
      <c r="H386" s="1">
        <v>2023</v>
      </c>
      <c r="I386" t="s">
        <v>27</v>
      </c>
      <c r="J386" s="1">
        <v>147</v>
      </c>
      <c r="K386" s="1" t="s">
        <v>28</v>
      </c>
      <c r="L386" s="1" t="s">
        <v>52</v>
      </c>
      <c r="M386" s="1">
        <v>7.9</v>
      </c>
      <c r="N386" s="1">
        <v>44.89</v>
      </c>
      <c r="O386" s="1">
        <v>70117000</v>
      </c>
      <c r="P386" t="s">
        <v>2281</v>
      </c>
    </row>
    <row r="387" spans="1:16" hidden="1" x14ac:dyDescent="0.3">
      <c r="A387" s="1" t="s">
        <v>941</v>
      </c>
      <c r="B387" s="1" t="s">
        <v>37</v>
      </c>
      <c r="C387" s="1" t="s">
        <v>942</v>
      </c>
      <c r="D387" s="1" t="s">
        <v>49</v>
      </c>
      <c r="E387" s="1" t="s">
        <v>784</v>
      </c>
      <c r="F387" s="1" t="s">
        <v>18</v>
      </c>
      <c r="G387" s="6">
        <v>45255</v>
      </c>
      <c r="H387" s="1">
        <v>2003</v>
      </c>
      <c r="I387" t="s">
        <v>27</v>
      </c>
      <c r="J387" s="1">
        <v>89</v>
      </c>
      <c r="K387" s="1" t="s">
        <v>28</v>
      </c>
      <c r="L387" s="1" t="s">
        <v>21</v>
      </c>
      <c r="M387" s="1">
        <v>7.3</v>
      </c>
      <c r="N387" s="1">
        <v>73.459999999999994</v>
      </c>
      <c r="O387" s="1">
        <v>44910000</v>
      </c>
      <c r="P387" t="s">
        <v>2282</v>
      </c>
    </row>
    <row r="388" spans="1:16" hidden="1" x14ac:dyDescent="0.3">
      <c r="A388" s="1" t="s">
        <v>943</v>
      </c>
      <c r="B388" s="1" t="s">
        <v>37</v>
      </c>
      <c r="C388" s="1" t="s">
        <v>944</v>
      </c>
      <c r="D388" s="1" t="s">
        <v>31</v>
      </c>
      <c r="E388" s="1" t="s">
        <v>222</v>
      </c>
      <c r="F388" s="1" t="s">
        <v>76</v>
      </c>
      <c r="G388" s="6">
        <v>43958</v>
      </c>
      <c r="H388" s="1">
        <v>2010</v>
      </c>
      <c r="I388" t="s">
        <v>55</v>
      </c>
      <c r="J388" s="1">
        <v>174</v>
      </c>
      <c r="K388" s="1" t="s">
        <v>28</v>
      </c>
      <c r="L388" s="1" t="s">
        <v>21</v>
      </c>
      <c r="M388" s="1">
        <v>3.4</v>
      </c>
      <c r="N388" s="1">
        <v>142.52000000000001</v>
      </c>
      <c r="O388" s="1">
        <v>20210000</v>
      </c>
      <c r="P388" t="s">
        <v>2282</v>
      </c>
    </row>
    <row r="389" spans="1:16" hidden="1" x14ac:dyDescent="0.3">
      <c r="A389" s="1" t="s">
        <v>945</v>
      </c>
      <c r="B389" s="1" t="s">
        <v>37</v>
      </c>
      <c r="C389" s="1" t="s">
        <v>946</v>
      </c>
      <c r="D389" s="1" t="s">
        <v>72</v>
      </c>
      <c r="E389" s="1" t="s">
        <v>63</v>
      </c>
      <c r="F389" s="1" t="s">
        <v>45</v>
      </c>
      <c r="G389" s="6">
        <v>42547</v>
      </c>
      <c r="H389" s="1">
        <v>1990</v>
      </c>
      <c r="I389" t="s">
        <v>77</v>
      </c>
      <c r="J389" s="1">
        <v>119</v>
      </c>
      <c r="K389" s="1" t="s">
        <v>28</v>
      </c>
      <c r="L389" s="1" t="s">
        <v>41</v>
      </c>
      <c r="M389" s="1">
        <v>5.5</v>
      </c>
      <c r="N389" s="1">
        <v>94.3</v>
      </c>
      <c r="O389" s="1">
        <v>85264000</v>
      </c>
      <c r="P389" t="s">
        <v>2282</v>
      </c>
    </row>
    <row r="390" spans="1:16" hidden="1" x14ac:dyDescent="0.3">
      <c r="A390" s="1" t="s">
        <v>947</v>
      </c>
      <c r="B390" s="1" t="s">
        <v>37</v>
      </c>
      <c r="C390" s="1" t="s">
        <v>948</v>
      </c>
      <c r="D390" s="1" t="s">
        <v>24</v>
      </c>
      <c r="E390" s="1" t="s">
        <v>602</v>
      </c>
      <c r="F390" s="1" t="s">
        <v>33</v>
      </c>
      <c r="G390" s="6">
        <v>42666</v>
      </c>
      <c r="H390" s="1">
        <v>2023</v>
      </c>
      <c r="I390" t="s">
        <v>55</v>
      </c>
      <c r="J390" s="1">
        <v>61</v>
      </c>
      <c r="K390" s="1" t="s">
        <v>28</v>
      </c>
      <c r="L390" s="1" t="s">
        <v>21</v>
      </c>
      <c r="M390" s="1">
        <v>4.4000000000000004</v>
      </c>
      <c r="N390" s="1">
        <v>58.81</v>
      </c>
      <c r="O390" s="1">
        <v>32298000</v>
      </c>
      <c r="P390" t="s">
        <v>2282</v>
      </c>
    </row>
    <row r="391" spans="1:16" hidden="1" x14ac:dyDescent="0.3">
      <c r="A391" s="1" t="s">
        <v>949</v>
      </c>
      <c r="B391" s="1" t="s">
        <v>37</v>
      </c>
      <c r="C391" s="1" t="s">
        <v>950</v>
      </c>
      <c r="D391" s="1" t="s">
        <v>31</v>
      </c>
      <c r="E391" s="1" t="s">
        <v>123</v>
      </c>
      <c r="F391" s="1" t="s">
        <v>18</v>
      </c>
      <c r="G391" s="6">
        <v>43431</v>
      </c>
      <c r="H391" s="1">
        <v>2009</v>
      </c>
      <c r="I391" t="s">
        <v>19</v>
      </c>
      <c r="J391" s="1">
        <v>125</v>
      </c>
      <c r="K391" s="1" t="s">
        <v>28</v>
      </c>
      <c r="L391" s="1" t="s">
        <v>46</v>
      </c>
      <c r="M391" s="1">
        <v>9</v>
      </c>
      <c r="N391" s="1">
        <v>80.819999999999993</v>
      </c>
      <c r="O391" s="1">
        <v>41672000</v>
      </c>
      <c r="P391" t="s">
        <v>2281</v>
      </c>
    </row>
    <row r="392" spans="1:16" hidden="1" x14ac:dyDescent="0.3">
      <c r="A392" s="1" t="s">
        <v>951</v>
      </c>
      <c r="B392" s="1" t="s">
        <v>37</v>
      </c>
      <c r="C392" s="1" t="s">
        <v>952</v>
      </c>
      <c r="D392" s="1" t="s">
        <v>62</v>
      </c>
      <c r="E392" s="1" t="s">
        <v>953</v>
      </c>
      <c r="F392" s="1" t="s">
        <v>59</v>
      </c>
      <c r="G392" s="6">
        <v>43710</v>
      </c>
      <c r="H392" s="1">
        <v>2018</v>
      </c>
      <c r="I392" t="s">
        <v>77</v>
      </c>
      <c r="J392" s="1">
        <v>68</v>
      </c>
      <c r="K392" s="1" t="s">
        <v>28</v>
      </c>
      <c r="L392" s="1" t="s">
        <v>69</v>
      </c>
      <c r="M392" s="1">
        <v>2.5</v>
      </c>
      <c r="N392" s="1">
        <v>82.37</v>
      </c>
      <c r="O392" s="1">
        <v>71596000</v>
      </c>
      <c r="P392" t="s">
        <v>2281</v>
      </c>
    </row>
    <row r="393" spans="1:16" hidden="1" x14ac:dyDescent="0.3">
      <c r="A393" s="1" t="s">
        <v>954</v>
      </c>
      <c r="B393" s="1" t="s">
        <v>37</v>
      </c>
      <c r="C393" s="1" t="s">
        <v>955</v>
      </c>
      <c r="D393" s="1" t="s">
        <v>16</v>
      </c>
      <c r="E393" s="1" t="s">
        <v>733</v>
      </c>
      <c r="F393" s="1" t="s">
        <v>33</v>
      </c>
      <c r="G393" s="6">
        <v>42776</v>
      </c>
      <c r="H393" s="1">
        <v>1993</v>
      </c>
      <c r="I393" t="s">
        <v>89</v>
      </c>
      <c r="J393" s="1">
        <v>165</v>
      </c>
      <c r="K393" s="1" t="s">
        <v>28</v>
      </c>
      <c r="L393" s="1" t="s">
        <v>21</v>
      </c>
      <c r="M393" s="1">
        <v>1.1000000000000001</v>
      </c>
      <c r="N393" s="1">
        <v>12.86</v>
      </c>
      <c r="O393" s="1">
        <v>33105000</v>
      </c>
      <c r="P393" t="s">
        <v>2282</v>
      </c>
    </row>
    <row r="394" spans="1:16" x14ac:dyDescent="0.3">
      <c r="A394" s="1" t="s">
        <v>956</v>
      </c>
      <c r="B394" s="1" t="s">
        <v>14</v>
      </c>
      <c r="C394" s="1" t="s">
        <v>957</v>
      </c>
      <c r="D394" s="1" t="s">
        <v>39</v>
      </c>
      <c r="E394" s="1" t="s">
        <v>958</v>
      </c>
      <c r="F394" s="1" t="s">
        <v>26</v>
      </c>
      <c r="G394" s="6">
        <v>44475</v>
      </c>
      <c r="H394" s="1">
        <v>2013</v>
      </c>
      <c r="I394" t="s">
        <v>27</v>
      </c>
      <c r="J394" s="1">
        <v>4</v>
      </c>
      <c r="K394" s="1" t="s">
        <v>20</v>
      </c>
      <c r="L394" s="1" t="s">
        <v>46</v>
      </c>
      <c r="M394" s="1">
        <v>8.4</v>
      </c>
      <c r="N394" s="1">
        <v>90.64</v>
      </c>
      <c r="O394" s="1">
        <v>90403000</v>
      </c>
      <c r="P394" t="s">
        <v>2281</v>
      </c>
    </row>
    <row r="395" spans="1:16" hidden="1" x14ac:dyDescent="0.3">
      <c r="A395" s="1" t="s">
        <v>959</v>
      </c>
      <c r="B395" s="1" t="s">
        <v>37</v>
      </c>
      <c r="C395" s="1" t="s">
        <v>960</v>
      </c>
      <c r="D395" s="1" t="s">
        <v>62</v>
      </c>
      <c r="E395" s="1" t="s">
        <v>216</v>
      </c>
      <c r="F395" s="1" t="s">
        <v>18</v>
      </c>
      <c r="G395" s="6">
        <v>45016</v>
      </c>
      <c r="H395" s="1">
        <v>2006</v>
      </c>
      <c r="I395" t="s">
        <v>77</v>
      </c>
      <c r="J395" s="1">
        <v>107</v>
      </c>
      <c r="K395" s="1" t="s">
        <v>28</v>
      </c>
      <c r="L395" s="1" t="s">
        <v>41</v>
      </c>
      <c r="M395" s="1">
        <v>8.1999999999999993</v>
      </c>
      <c r="N395" s="1">
        <v>89.59</v>
      </c>
      <c r="O395" s="1">
        <v>87253000</v>
      </c>
      <c r="P395" t="s">
        <v>2282</v>
      </c>
    </row>
    <row r="396" spans="1:16" x14ac:dyDescent="0.3">
      <c r="A396" s="1" t="s">
        <v>961</v>
      </c>
      <c r="B396" s="1" t="s">
        <v>14</v>
      </c>
      <c r="C396" s="1" t="s">
        <v>962</v>
      </c>
      <c r="D396" s="1" t="s">
        <v>31</v>
      </c>
      <c r="E396" s="1" t="s">
        <v>963</v>
      </c>
      <c r="F396" s="1" t="s">
        <v>18</v>
      </c>
      <c r="G396" s="6">
        <v>44426</v>
      </c>
      <c r="H396" s="1">
        <v>2018</v>
      </c>
      <c r="I396" t="s">
        <v>77</v>
      </c>
      <c r="J396" s="1">
        <v>8</v>
      </c>
      <c r="K396" s="1" t="s">
        <v>20</v>
      </c>
      <c r="L396" s="1" t="s">
        <v>41</v>
      </c>
      <c r="M396" s="1">
        <v>2.1</v>
      </c>
      <c r="N396" s="1">
        <v>123.59</v>
      </c>
      <c r="O396" s="1">
        <v>3333000</v>
      </c>
      <c r="P396" t="s">
        <v>2282</v>
      </c>
    </row>
    <row r="397" spans="1:16" x14ac:dyDescent="0.3">
      <c r="A397" s="1" t="s">
        <v>964</v>
      </c>
      <c r="B397" s="1" t="s">
        <v>14</v>
      </c>
      <c r="C397" s="1" t="s">
        <v>965</v>
      </c>
      <c r="D397" s="1" t="s">
        <v>16</v>
      </c>
      <c r="E397" s="1" t="s">
        <v>966</v>
      </c>
      <c r="F397" s="1" t="s">
        <v>18</v>
      </c>
      <c r="G397" s="6">
        <v>42981</v>
      </c>
      <c r="H397" s="1">
        <v>2003</v>
      </c>
      <c r="I397" t="s">
        <v>55</v>
      </c>
      <c r="J397" s="1">
        <v>6</v>
      </c>
      <c r="K397" s="1" t="s">
        <v>20</v>
      </c>
      <c r="L397" s="1" t="s">
        <v>52</v>
      </c>
      <c r="M397" s="1">
        <v>1.4</v>
      </c>
      <c r="N397" s="1">
        <v>54.89</v>
      </c>
      <c r="O397" s="1">
        <v>49939000</v>
      </c>
      <c r="P397" t="s">
        <v>2282</v>
      </c>
    </row>
    <row r="398" spans="1:16" hidden="1" x14ac:dyDescent="0.3">
      <c r="A398" s="1" t="s">
        <v>967</v>
      </c>
      <c r="B398" s="1" t="s">
        <v>37</v>
      </c>
      <c r="C398" s="1" t="s">
        <v>968</v>
      </c>
      <c r="D398" s="1" t="s">
        <v>16</v>
      </c>
      <c r="E398" s="1" t="s">
        <v>50</v>
      </c>
      <c r="F398" s="1" t="s">
        <v>33</v>
      </c>
      <c r="G398" s="6">
        <v>43135</v>
      </c>
      <c r="H398" s="1">
        <v>2012</v>
      </c>
      <c r="I398" t="s">
        <v>89</v>
      </c>
      <c r="J398" s="1">
        <v>74</v>
      </c>
      <c r="K398" s="1" t="s">
        <v>28</v>
      </c>
      <c r="L398" s="1" t="s">
        <v>21</v>
      </c>
      <c r="M398" s="1">
        <v>6.5</v>
      </c>
      <c r="N398" s="1">
        <v>142.09</v>
      </c>
      <c r="O398" s="1">
        <v>100385000</v>
      </c>
      <c r="P398" t="s">
        <v>2282</v>
      </c>
    </row>
    <row r="399" spans="1:16" x14ac:dyDescent="0.3">
      <c r="A399" s="1" t="s">
        <v>969</v>
      </c>
      <c r="B399" s="1" t="s">
        <v>14</v>
      </c>
      <c r="C399" s="1" t="s">
        <v>970</v>
      </c>
      <c r="D399" s="1" t="s">
        <v>39</v>
      </c>
      <c r="E399" s="1" t="s">
        <v>17</v>
      </c>
      <c r="F399" s="1" t="s">
        <v>59</v>
      </c>
      <c r="G399" s="6">
        <v>45257</v>
      </c>
      <c r="H399" s="1">
        <v>2007</v>
      </c>
      <c r="I399" t="s">
        <v>89</v>
      </c>
      <c r="J399" s="1">
        <v>7</v>
      </c>
      <c r="K399" s="1" t="s">
        <v>20</v>
      </c>
      <c r="L399" s="1" t="s">
        <v>21</v>
      </c>
      <c r="M399" s="1">
        <v>2.1</v>
      </c>
      <c r="N399" s="1">
        <v>40.090000000000003</v>
      </c>
      <c r="O399" s="1">
        <v>29378000</v>
      </c>
      <c r="P399" t="s">
        <v>2281</v>
      </c>
    </row>
    <row r="400" spans="1:16" hidden="1" x14ac:dyDescent="0.3">
      <c r="A400" s="1" t="s">
        <v>971</v>
      </c>
      <c r="B400" s="1" t="s">
        <v>37</v>
      </c>
      <c r="C400" s="1" t="s">
        <v>972</v>
      </c>
      <c r="D400" s="1" t="s">
        <v>31</v>
      </c>
      <c r="E400" s="1" t="s">
        <v>72</v>
      </c>
      <c r="F400" s="1" t="s">
        <v>26</v>
      </c>
      <c r="G400" s="6">
        <v>42712</v>
      </c>
      <c r="H400" s="1">
        <v>2003</v>
      </c>
      <c r="I400" t="s">
        <v>34</v>
      </c>
      <c r="J400" s="1">
        <v>79</v>
      </c>
      <c r="K400" s="1" t="s">
        <v>28</v>
      </c>
      <c r="L400" s="1" t="s">
        <v>21</v>
      </c>
      <c r="M400" s="1">
        <v>2.5</v>
      </c>
      <c r="N400" s="1">
        <v>59.51</v>
      </c>
      <c r="O400" s="1">
        <v>46947000</v>
      </c>
      <c r="P400" t="s">
        <v>2282</v>
      </c>
    </row>
    <row r="401" spans="1:16" hidden="1" x14ac:dyDescent="0.3">
      <c r="A401" s="1" t="s">
        <v>973</v>
      </c>
      <c r="B401" s="1" t="s">
        <v>37</v>
      </c>
      <c r="C401" s="1" t="s">
        <v>974</v>
      </c>
      <c r="D401" s="1" t="s">
        <v>31</v>
      </c>
      <c r="E401" s="1" t="s">
        <v>975</v>
      </c>
      <c r="F401" s="1" t="s">
        <v>51</v>
      </c>
      <c r="G401" s="6">
        <v>44949</v>
      </c>
      <c r="H401" s="1">
        <v>2007</v>
      </c>
      <c r="I401" t="s">
        <v>77</v>
      </c>
      <c r="J401" s="1">
        <v>171</v>
      </c>
      <c r="K401" s="1" t="s">
        <v>28</v>
      </c>
      <c r="L401" s="1" t="s">
        <v>52</v>
      </c>
      <c r="M401" s="1">
        <v>6.2</v>
      </c>
      <c r="N401" s="1">
        <v>20.54</v>
      </c>
      <c r="O401" s="1">
        <v>42104000</v>
      </c>
      <c r="P401" t="s">
        <v>2282</v>
      </c>
    </row>
    <row r="402" spans="1:16" x14ac:dyDescent="0.3">
      <c r="A402" s="1" t="s">
        <v>976</v>
      </c>
      <c r="B402" s="1" t="s">
        <v>14</v>
      </c>
      <c r="C402" s="1" t="s">
        <v>977</v>
      </c>
      <c r="D402" s="1" t="s">
        <v>49</v>
      </c>
      <c r="E402" s="1" t="s">
        <v>50</v>
      </c>
      <c r="F402" s="1" t="s">
        <v>59</v>
      </c>
      <c r="G402" s="6">
        <v>42550</v>
      </c>
      <c r="H402" s="1">
        <v>2010</v>
      </c>
      <c r="I402" t="s">
        <v>34</v>
      </c>
      <c r="J402" s="1">
        <v>9</v>
      </c>
      <c r="K402" s="1" t="s">
        <v>20</v>
      </c>
      <c r="L402" s="1" t="s">
        <v>21</v>
      </c>
      <c r="M402" s="1">
        <v>4.8</v>
      </c>
      <c r="N402" s="1">
        <v>16.72</v>
      </c>
      <c r="O402" s="1">
        <v>71983000</v>
      </c>
      <c r="P402" t="s">
        <v>2281</v>
      </c>
    </row>
    <row r="403" spans="1:16" x14ac:dyDescent="0.3">
      <c r="A403" s="1" t="s">
        <v>978</v>
      </c>
      <c r="B403" s="1" t="s">
        <v>14</v>
      </c>
      <c r="C403" s="1" t="s">
        <v>979</v>
      </c>
      <c r="D403" s="1" t="s">
        <v>49</v>
      </c>
      <c r="E403" s="1" t="s">
        <v>40</v>
      </c>
      <c r="F403" s="1" t="s">
        <v>76</v>
      </c>
      <c r="G403" s="6">
        <v>45261</v>
      </c>
      <c r="H403" s="1">
        <v>2005</v>
      </c>
      <c r="I403" t="s">
        <v>19</v>
      </c>
      <c r="J403" s="1">
        <v>7</v>
      </c>
      <c r="K403" s="1" t="s">
        <v>20</v>
      </c>
      <c r="L403" s="1" t="s">
        <v>21</v>
      </c>
      <c r="M403" s="1">
        <v>5.7</v>
      </c>
      <c r="N403" s="1">
        <v>123.27</v>
      </c>
      <c r="O403" s="1">
        <v>4245000</v>
      </c>
      <c r="P403" t="s">
        <v>2281</v>
      </c>
    </row>
    <row r="404" spans="1:16" x14ac:dyDescent="0.3">
      <c r="A404" s="1" t="s">
        <v>980</v>
      </c>
      <c r="B404" s="1" t="s">
        <v>14</v>
      </c>
      <c r="C404" s="1" t="s">
        <v>981</v>
      </c>
      <c r="D404" s="1" t="s">
        <v>39</v>
      </c>
      <c r="E404" s="1" t="s">
        <v>958</v>
      </c>
      <c r="F404" s="1" t="s">
        <v>76</v>
      </c>
      <c r="G404" s="6">
        <v>42941</v>
      </c>
      <c r="H404" s="1">
        <v>2021</v>
      </c>
      <c r="I404" t="s">
        <v>27</v>
      </c>
      <c r="J404" s="1">
        <v>6</v>
      </c>
      <c r="K404" s="1" t="s">
        <v>20</v>
      </c>
      <c r="L404" s="1" t="s">
        <v>69</v>
      </c>
      <c r="M404" s="1">
        <v>5.3</v>
      </c>
      <c r="N404" s="1">
        <v>14.51</v>
      </c>
      <c r="O404" s="1">
        <v>59573000</v>
      </c>
      <c r="P404" t="s">
        <v>2282</v>
      </c>
    </row>
    <row r="405" spans="1:16" hidden="1" x14ac:dyDescent="0.3">
      <c r="A405" s="1" t="s">
        <v>982</v>
      </c>
      <c r="B405" s="1" t="s">
        <v>37</v>
      </c>
      <c r="C405" s="1" t="s">
        <v>983</v>
      </c>
      <c r="D405" s="1" t="s">
        <v>31</v>
      </c>
      <c r="E405" s="1" t="s">
        <v>984</v>
      </c>
      <c r="F405" s="1" t="s">
        <v>33</v>
      </c>
      <c r="G405" s="6">
        <v>44328</v>
      </c>
      <c r="H405" s="1">
        <v>2021</v>
      </c>
      <c r="I405" t="s">
        <v>89</v>
      </c>
      <c r="J405" s="1">
        <v>74</v>
      </c>
      <c r="K405" s="1" t="s">
        <v>28</v>
      </c>
      <c r="L405" s="1" t="s">
        <v>35</v>
      </c>
      <c r="M405" s="1">
        <v>2.9</v>
      </c>
      <c r="N405" s="1">
        <v>123.38</v>
      </c>
      <c r="O405" s="1">
        <v>73238000</v>
      </c>
      <c r="P405" t="s">
        <v>2282</v>
      </c>
    </row>
    <row r="406" spans="1:16" hidden="1" x14ac:dyDescent="0.3">
      <c r="A406" s="1" t="s">
        <v>985</v>
      </c>
      <c r="B406" s="1" t="s">
        <v>37</v>
      </c>
      <c r="C406" s="1" t="s">
        <v>986</v>
      </c>
      <c r="D406" s="1" t="s">
        <v>62</v>
      </c>
      <c r="E406" s="1" t="s">
        <v>40</v>
      </c>
      <c r="F406" s="1" t="s">
        <v>26</v>
      </c>
      <c r="G406" s="6">
        <v>43625</v>
      </c>
      <c r="H406" s="1">
        <v>1999</v>
      </c>
      <c r="I406" t="s">
        <v>27</v>
      </c>
      <c r="J406" s="1">
        <v>158</v>
      </c>
      <c r="K406" s="1" t="s">
        <v>28</v>
      </c>
      <c r="L406" s="1" t="s">
        <v>46</v>
      </c>
      <c r="M406" s="1">
        <v>4.0999999999999996</v>
      </c>
      <c r="N406" s="1">
        <v>39.67</v>
      </c>
      <c r="O406" s="1">
        <v>12104000</v>
      </c>
      <c r="P406" t="s">
        <v>2281</v>
      </c>
    </row>
    <row r="407" spans="1:16" hidden="1" x14ac:dyDescent="0.3">
      <c r="A407" s="1" t="s">
        <v>987</v>
      </c>
      <c r="B407" s="1" t="s">
        <v>37</v>
      </c>
      <c r="C407" s="1" t="s">
        <v>988</v>
      </c>
      <c r="D407" s="1" t="s">
        <v>16</v>
      </c>
      <c r="E407" s="1" t="s">
        <v>843</v>
      </c>
      <c r="F407" s="1" t="s">
        <v>59</v>
      </c>
      <c r="G407" s="6">
        <v>42676</v>
      </c>
      <c r="H407" s="1">
        <v>2008</v>
      </c>
      <c r="I407" t="s">
        <v>55</v>
      </c>
      <c r="J407" s="1">
        <v>115</v>
      </c>
      <c r="K407" s="1" t="s">
        <v>28</v>
      </c>
      <c r="L407" s="1" t="s">
        <v>69</v>
      </c>
      <c r="M407" s="1">
        <v>5.4</v>
      </c>
      <c r="N407" s="1">
        <v>67.56</v>
      </c>
      <c r="O407" s="1">
        <v>6149000</v>
      </c>
      <c r="P407" t="s">
        <v>2281</v>
      </c>
    </row>
    <row r="408" spans="1:16" hidden="1" x14ac:dyDescent="0.3">
      <c r="A408" s="1" t="s">
        <v>989</v>
      </c>
      <c r="B408" s="1" t="s">
        <v>37</v>
      </c>
      <c r="C408" s="1" t="s">
        <v>990</v>
      </c>
      <c r="D408" s="1" t="s">
        <v>24</v>
      </c>
      <c r="E408" s="1" t="s">
        <v>50</v>
      </c>
      <c r="F408" s="1" t="s">
        <v>33</v>
      </c>
      <c r="G408" s="6">
        <v>43502</v>
      </c>
      <c r="H408" s="1">
        <v>2008</v>
      </c>
      <c r="I408" t="s">
        <v>19</v>
      </c>
      <c r="J408" s="1">
        <v>89</v>
      </c>
      <c r="K408" s="1" t="s">
        <v>28</v>
      </c>
      <c r="L408" s="1" t="s">
        <v>35</v>
      </c>
      <c r="M408" s="1">
        <v>4.4000000000000004</v>
      </c>
      <c r="N408" s="1">
        <v>79.430000000000007</v>
      </c>
      <c r="O408" s="1">
        <v>52959000</v>
      </c>
      <c r="P408" t="s">
        <v>2281</v>
      </c>
    </row>
    <row r="409" spans="1:16" hidden="1" x14ac:dyDescent="0.3">
      <c r="A409" s="1" t="s">
        <v>991</v>
      </c>
      <c r="B409" s="1" t="s">
        <v>37</v>
      </c>
      <c r="C409" s="1" t="s">
        <v>992</v>
      </c>
      <c r="D409" s="1" t="s">
        <v>31</v>
      </c>
      <c r="E409" s="1" t="s">
        <v>72</v>
      </c>
      <c r="F409" s="1" t="s">
        <v>59</v>
      </c>
      <c r="G409" s="6">
        <v>42292</v>
      </c>
      <c r="H409" s="1">
        <v>2000</v>
      </c>
      <c r="I409" t="s">
        <v>89</v>
      </c>
      <c r="J409" s="1">
        <v>162</v>
      </c>
      <c r="K409" s="1" t="s">
        <v>28</v>
      </c>
      <c r="L409" s="1" t="s">
        <v>69</v>
      </c>
      <c r="M409" s="1">
        <v>7.5</v>
      </c>
      <c r="N409" s="1">
        <v>25.42</v>
      </c>
      <c r="O409" s="1">
        <v>3497000</v>
      </c>
      <c r="P409" t="s">
        <v>2281</v>
      </c>
    </row>
    <row r="410" spans="1:16" hidden="1" x14ac:dyDescent="0.3">
      <c r="A410" s="1" t="s">
        <v>993</v>
      </c>
      <c r="B410" s="1" t="s">
        <v>37</v>
      </c>
      <c r="C410" s="1" t="s">
        <v>994</v>
      </c>
      <c r="D410" s="1" t="s">
        <v>24</v>
      </c>
      <c r="E410" s="1" t="s">
        <v>400</v>
      </c>
      <c r="F410" s="1" t="s">
        <v>33</v>
      </c>
      <c r="G410" s="6">
        <v>44092</v>
      </c>
      <c r="H410" s="1">
        <v>1997</v>
      </c>
      <c r="I410" t="s">
        <v>55</v>
      </c>
      <c r="J410" s="1">
        <v>174</v>
      </c>
      <c r="K410" s="1" t="s">
        <v>28</v>
      </c>
      <c r="L410" s="1" t="s">
        <v>69</v>
      </c>
      <c r="M410" s="1">
        <v>2.4</v>
      </c>
      <c r="N410" s="1">
        <v>58.29</v>
      </c>
      <c r="O410" s="1">
        <v>82797000</v>
      </c>
      <c r="P410" t="s">
        <v>2281</v>
      </c>
    </row>
    <row r="411" spans="1:16" x14ac:dyDescent="0.3">
      <c r="A411" s="1" t="s">
        <v>995</v>
      </c>
      <c r="B411" s="1" t="s">
        <v>14</v>
      </c>
      <c r="C411" s="1" t="s">
        <v>996</v>
      </c>
      <c r="D411" s="1" t="s">
        <v>39</v>
      </c>
      <c r="E411" s="1" t="s">
        <v>111</v>
      </c>
      <c r="F411" s="1" t="s">
        <v>158</v>
      </c>
      <c r="G411" s="6">
        <v>42385</v>
      </c>
      <c r="H411" s="1">
        <v>2022</v>
      </c>
      <c r="I411" t="s">
        <v>19</v>
      </c>
      <c r="J411" s="1">
        <v>10</v>
      </c>
      <c r="K411" s="1" t="s">
        <v>20</v>
      </c>
      <c r="L411" s="1" t="s">
        <v>46</v>
      </c>
      <c r="M411" s="1">
        <v>9.6</v>
      </c>
      <c r="N411" s="1">
        <v>145.66999999999999</v>
      </c>
      <c r="O411" s="1">
        <v>83668000</v>
      </c>
      <c r="P411" t="s">
        <v>2281</v>
      </c>
    </row>
    <row r="412" spans="1:16" hidden="1" x14ac:dyDescent="0.3">
      <c r="A412" s="1" t="s">
        <v>997</v>
      </c>
      <c r="B412" s="1" t="s">
        <v>37</v>
      </c>
      <c r="C412" s="1" t="s">
        <v>998</v>
      </c>
      <c r="D412" s="1" t="s">
        <v>24</v>
      </c>
      <c r="E412" s="1" t="s">
        <v>17</v>
      </c>
      <c r="F412" s="1" t="s">
        <v>59</v>
      </c>
      <c r="G412" s="6">
        <v>42222</v>
      </c>
      <c r="H412" s="1">
        <v>2004</v>
      </c>
      <c r="I412" t="s">
        <v>55</v>
      </c>
      <c r="J412" s="1">
        <v>136</v>
      </c>
      <c r="K412" s="1" t="s">
        <v>28</v>
      </c>
      <c r="L412" s="1" t="s">
        <v>46</v>
      </c>
      <c r="M412" s="1">
        <v>5.2</v>
      </c>
      <c r="N412" s="1">
        <v>12.06</v>
      </c>
      <c r="O412" s="1">
        <v>63838000</v>
      </c>
      <c r="P412" t="s">
        <v>2281</v>
      </c>
    </row>
    <row r="413" spans="1:16" hidden="1" x14ac:dyDescent="0.3">
      <c r="A413" s="1" t="s">
        <v>999</v>
      </c>
      <c r="B413" s="1" t="s">
        <v>37</v>
      </c>
      <c r="C413" s="1" t="s">
        <v>1000</v>
      </c>
      <c r="D413" s="1" t="s">
        <v>72</v>
      </c>
      <c r="E413" s="1" t="s">
        <v>163</v>
      </c>
      <c r="F413" s="1" t="s">
        <v>45</v>
      </c>
      <c r="G413" s="6">
        <v>44081</v>
      </c>
      <c r="H413" s="1">
        <v>2000</v>
      </c>
      <c r="I413" t="s">
        <v>19</v>
      </c>
      <c r="J413" s="1">
        <v>123</v>
      </c>
      <c r="K413" s="1" t="s">
        <v>28</v>
      </c>
      <c r="L413" s="1" t="s">
        <v>69</v>
      </c>
      <c r="M413" s="1">
        <v>7.7</v>
      </c>
      <c r="N413" s="1">
        <v>68.040000000000006</v>
      </c>
      <c r="O413" s="1">
        <v>57424000</v>
      </c>
      <c r="P413" t="s">
        <v>2282</v>
      </c>
    </row>
    <row r="414" spans="1:16" hidden="1" x14ac:dyDescent="0.3">
      <c r="A414" s="1" t="s">
        <v>1001</v>
      </c>
      <c r="B414" s="1" t="s">
        <v>37</v>
      </c>
      <c r="C414" s="1" t="s">
        <v>1002</v>
      </c>
      <c r="D414" s="1" t="s">
        <v>16</v>
      </c>
      <c r="E414" s="1" t="s">
        <v>1003</v>
      </c>
      <c r="F414" s="1" t="s">
        <v>18</v>
      </c>
      <c r="G414" s="6">
        <v>42200</v>
      </c>
      <c r="H414" s="1">
        <v>2000</v>
      </c>
      <c r="I414" t="s">
        <v>77</v>
      </c>
      <c r="J414" s="1">
        <v>158</v>
      </c>
      <c r="K414" s="1" t="s">
        <v>28</v>
      </c>
      <c r="L414" s="1" t="s">
        <v>46</v>
      </c>
      <c r="M414" s="1">
        <v>9.1</v>
      </c>
      <c r="N414" s="1">
        <v>26.27</v>
      </c>
      <c r="O414" s="1">
        <v>19911000</v>
      </c>
      <c r="P414" t="s">
        <v>2282</v>
      </c>
    </row>
    <row r="415" spans="1:16" x14ac:dyDescent="0.3">
      <c r="A415" s="1" t="s">
        <v>1004</v>
      </c>
      <c r="B415" s="1" t="s">
        <v>14</v>
      </c>
      <c r="C415" s="1" t="s">
        <v>1005</v>
      </c>
      <c r="D415" s="1" t="s">
        <v>16</v>
      </c>
      <c r="E415" s="1" t="s">
        <v>17</v>
      </c>
      <c r="F415" s="1" t="s">
        <v>158</v>
      </c>
      <c r="G415" s="6">
        <v>44964</v>
      </c>
      <c r="H415" s="1">
        <v>1992</v>
      </c>
      <c r="I415" t="s">
        <v>55</v>
      </c>
      <c r="J415" s="1">
        <v>2</v>
      </c>
      <c r="K415" s="1" t="s">
        <v>20</v>
      </c>
      <c r="L415" s="1" t="s">
        <v>46</v>
      </c>
      <c r="M415" s="1">
        <v>5.7</v>
      </c>
      <c r="N415" s="1">
        <v>64.150000000000006</v>
      </c>
      <c r="O415" s="1">
        <v>48951000</v>
      </c>
      <c r="P415" t="s">
        <v>2281</v>
      </c>
    </row>
    <row r="416" spans="1:16" hidden="1" x14ac:dyDescent="0.3">
      <c r="A416" s="1" t="s">
        <v>1006</v>
      </c>
      <c r="B416" s="1" t="s">
        <v>37</v>
      </c>
      <c r="C416" s="1" t="s">
        <v>1007</v>
      </c>
      <c r="D416" s="1" t="s">
        <v>31</v>
      </c>
      <c r="E416" s="1" t="s">
        <v>290</v>
      </c>
      <c r="F416" s="1" t="s">
        <v>33</v>
      </c>
      <c r="G416" s="6">
        <v>43140</v>
      </c>
      <c r="H416" s="1">
        <v>2005</v>
      </c>
      <c r="I416" t="s">
        <v>34</v>
      </c>
      <c r="J416" s="1">
        <v>66</v>
      </c>
      <c r="K416" s="1" t="s">
        <v>28</v>
      </c>
      <c r="L416" s="1" t="s">
        <v>46</v>
      </c>
      <c r="M416" s="1">
        <v>7.3</v>
      </c>
      <c r="N416" s="1">
        <v>19.37</v>
      </c>
      <c r="O416" s="1">
        <v>95692000</v>
      </c>
      <c r="P416" t="s">
        <v>2281</v>
      </c>
    </row>
    <row r="417" spans="1:16" hidden="1" x14ac:dyDescent="0.3">
      <c r="A417" s="1" t="s">
        <v>1008</v>
      </c>
      <c r="B417" s="1" t="s">
        <v>37</v>
      </c>
      <c r="C417" s="1" t="s">
        <v>1009</v>
      </c>
      <c r="D417" s="1" t="s">
        <v>49</v>
      </c>
      <c r="E417" s="1" t="s">
        <v>98</v>
      </c>
      <c r="F417" s="1" t="s">
        <v>158</v>
      </c>
      <c r="G417" s="6">
        <v>45182</v>
      </c>
      <c r="H417" s="1">
        <v>2020</v>
      </c>
      <c r="I417" t="s">
        <v>34</v>
      </c>
      <c r="J417" s="1">
        <v>110</v>
      </c>
      <c r="K417" s="1" t="s">
        <v>28</v>
      </c>
      <c r="L417" s="1" t="s">
        <v>69</v>
      </c>
      <c r="M417" s="1">
        <v>8</v>
      </c>
      <c r="N417" s="1">
        <v>79.37</v>
      </c>
      <c r="O417" s="1">
        <v>6629000</v>
      </c>
      <c r="P417" t="s">
        <v>2281</v>
      </c>
    </row>
    <row r="418" spans="1:16" x14ac:dyDescent="0.3">
      <c r="A418" s="1" t="s">
        <v>1010</v>
      </c>
      <c r="B418" s="1" t="s">
        <v>14</v>
      </c>
      <c r="C418" s="1" t="s">
        <v>1011</v>
      </c>
      <c r="D418" s="1" t="s">
        <v>24</v>
      </c>
      <c r="E418" s="1" t="s">
        <v>92</v>
      </c>
      <c r="F418" s="1" t="s">
        <v>18</v>
      </c>
      <c r="G418" s="6">
        <v>45147</v>
      </c>
      <c r="H418" s="1">
        <v>2006</v>
      </c>
      <c r="I418" t="s">
        <v>89</v>
      </c>
      <c r="J418" s="1">
        <v>6</v>
      </c>
      <c r="K418" s="1" t="s">
        <v>20</v>
      </c>
      <c r="L418" s="1" t="s">
        <v>41</v>
      </c>
      <c r="M418" s="1">
        <v>1.7</v>
      </c>
      <c r="N418" s="1">
        <v>57.36</v>
      </c>
      <c r="O418" s="1">
        <v>84729000</v>
      </c>
      <c r="P418" t="s">
        <v>2281</v>
      </c>
    </row>
    <row r="419" spans="1:16" hidden="1" x14ac:dyDescent="0.3">
      <c r="A419" s="1" t="s">
        <v>1012</v>
      </c>
      <c r="B419" s="1" t="s">
        <v>37</v>
      </c>
      <c r="C419" s="1" t="s">
        <v>1013</v>
      </c>
      <c r="D419" s="1" t="s">
        <v>62</v>
      </c>
      <c r="E419" s="1" t="s">
        <v>372</v>
      </c>
      <c r="F419" s="1" t="s">
        <v>59</v>
      </c>
      <c r="G419" s="6">
        <v>45017</v>
      </c>
      <c r="H419" s="1">
        <v>1999</v>
      </c>
      <c r="I419" t="s">
        <v>19</v>
      </c>
      <c r="J419" s="1">
        <v>119</v>
      </c>
      <c r="K419" s="1" t="s">
        <v>28</v>
      </c>
      <c r="L419" s="1" t="s">
        <v>46</v>
      </c>
      <c r="M419" s="1">
        <v>9.9</v>
      </c>
      <c r="N419" s="1">
        <v>82.87</v>
      </c>
      <c r="O419" s="1">
        <v>33876000</v>
      </c>
      <c r="P419" t="s">
        <v>2282</v>
      </c>
    </row>
    <row r="420" spans="1:16" hidden="1" x14ac:dyDescent="0.3">
      <c r="A420" s="1" t="s">
        <v>1014</v>
      </c>
      <c r="B420" s="1" t="s">
        <v>37</v>
      </c>
      <c r="C420" s="1" t="s">
        <v>1015</v>
      </c>
      <c r="D420" s="1" t="s">
        <v>39</v>
      </c>
      <c r="E420" s="1" t="s">
        <v>114</v>
      </c>
      <c r="F420" s="1" t="s">
        <v>158</v>
      </c>
      <c r="G420" s="6">
        <v>44023</v>
      </c>
      <c r="H420" s="1">
        <v>2018</v>
      </c>
      <c r="I420" t="s">
        <v>19</v>
      </c>
      <c r="J420" s="1">
        <v>179</v>
      </c>
      <c r="K420" s="1" t="s">
        <v>28</v>
      </c>
      <c r="L420" s="1" t="s">
        <v>69</v>
      </c>
      <c r="M420" s="1">
        <v>2.2000000000000002</v>
      </c>
      <c r="N420" s="1">
        <v>139.5</v>
      </c>
      <c r="O420" s="1">
        <v>57275000</v>
      </c>
      <c r="P420" t="s">
        <v>2282</v>
      </c>
    </row>
    <row r="421" spans="1:16" hidden="1" x14ac:dyDescent="0.3">
      <c r="A421" s="1" t="s">
        <v>1016</v>
      </c>
      <c r="B421" s="1" t="s">
        <v>37</v>
      </c>
      <c r="C421" s="1" t="s">
        <v>1017</v>
      </c>
      <c r="D421" s="1" t="s">
        <v>62</v>
      </c>
      <c r="E421" s="1" t="s">
        <v>1018</v>
      </c>
      <c r="F421" s="1" t="s">
        <v>59</v>
      </c>
      <c r="G421" s="6">
        <v>44794</v>
      </c>
      <c r="H421" s="1">
        <v>2016</v>
      </c>
      <c r="I421" t="s">
        <v>19</v>
      </c>
      <c r="J421" s="1">
        <v>106</v>
      </c>
      <c r="K421" s="1" t="s">
        <v>28</v>
      </c>
      <c r="L421" s="1" t="s">
        <v>46</v>
      </c>
      <c r="M421" s="1">
        <v>3.1</v>
      </c>
      <c r="N421" s="1">
        <v>103.31</v>
      </c>
      <c r="O421" s="1">
        <v>37403000</v>
      </c>
      <c r="P421" t="s">
        <v>2281</v>
      </c>
    </row>
    <row r="422" spans="1:16" hidden="1" x14ac:dyDescent="0.3">
      <c r="A422" s="1" t="s">
        <v>1019</v>
      </c>
      <c r="B422" s="1" t="s">
        <v>37</v>
      </c>
      <c r="C422" s="1" t="s">
        <v>1020</v>
      </c>
      <c r="D422" s="1" t="s">
        <v>31</v>
      </c>
      <c r="E422" s="1" t="s">
        <v>1021</v>
      </c>
      <c r="F422" s="1" t="s">
        <v>59</v>
      </c>
      <c r="G422" s="6">
        <v>44883</v>
      </c>
      <c r="H422" s="1">
        <v>1990</v>
      </c>
      <c r="I422" t="s">
        <v>34</v>
      </c>
      <c r="J422" s="1">
        <v>131</v>
      </c>
      <c r="K422" s="1" t="s">
        <v>28</v>
      </c>
      <c r="L422" s="1" t="s">
        <v>21</v>
      </c>
      <c r="M422" s="1">
        <v>6.3</v>
      </c>
      <c r="N422" s="1">
        <v>92.29</v>
      </c>
      <c r="O422" s="1">
        <v>45330000</v>
      </c>
      <c r="P422" t="s">
        <v>2281</v>
      </c>
    </row>
    <row r="423" spans="1:16" hidden="1" x14ac:dyDescent="0.3">
      <c r="A423" s="1" t="s">
        <v>1022</v>
      </c>
      <c r="B423" s="1" t="s">
        <v>37</v>
      </c>
      <c r="C423" s="1" t="s">
        <v>1023</v>
      </c>
      <c r="D423" s="1" t="s">
        <v>31</v>
      </c>
      <c r="E423" s="1" t="s">
        <v>298</v>
      </c>
      <c r="F423" s="1" t="s">
        <v>45</v>
      </c>
      <c r="G423" s="6">
        <v>45107</v>
      </c>
      <c r="H423" s="1">
        <v>2023</v>
      </c>
      <c r="I423" t="s">
        <v>89</v>
      </c>
      <c r="J423" s="1">
        <v>80</v>
      </c>
      <c r="K423" s="1" t="s">
        <v>28</v>
      </c>
      <c r="L423" s="1" t="s">
        <v>46</v>
      </c>
      <c r="M423" s="1">
        <v>3.8</v>
      </c>
      <c r="N423" s="1">
        <v>51.7</v>
      </c>
      <c r="O423" s="1">
        <v>3818000</v>
      </c>
      <c r="P423" t="s">
        <v>2281</v>
      </c>
    </row>
    <row r="424" spans="1:16" hidden="1" x14ac:dyDescent="0.3">
      <c r="A424" s="1" t="s">
        <v>1024</v>
      </c>
      <c r="B424" s="1" t="s">
        <v>37</v>
      </c>
      <c r="C424" s="1" t="s">
        <v>1025</v>
      </c>
      <c r="D424" s="1" t="s">
        <v>62</v>
      </c>
      <c r="E424" s="1" t="s">
        <v>17</v>
      </c>
      <c r="F424" s="1" t="s">
        <v>59</v>
      </c>
      <c r="G424" s="6">
        <v>42477</v>
      </c>
      <c r="H424" s="1">
        <v>2020</v>
      </c>
      <c r="I424" t="s">
        <v>34</v>
      </c>
      <c r="J424" s="1">
        <v>116</v>
      </c>
      <c r="K424" s="1" t="s">
        <v>28</v>
      </c>
      <c r="L424" s="1" t="s">
        <v>21</v>
      </c>
      <c r="M424" s="1">
        <v>5.9</v>
      </c>
      <c r="N424" s="1">
        <v>66.09</v>
      </c>
      <c r="O424" s="1">
        <v>38855000</v>
      </c>
      <c r="P424" t="s">
        <v>2282</v>
      </c>
    </row>
    <row r="425" spans="1:16" hidden="1" x14ac:dyDescent="0.3">
      <c r="A425" s="1" t="s">
        <v>1026</v>
      </c>
      <c r="B425" s="1" t="s">
        <v>37</v>
      </c>
      <c r="C425" s="1" t="s">
        <v>1027</v>
      </c>
      <c r="D425" s="1" t="s">
        <v>62</v>
      </c>
      <c r="E425" s="1" t="s">
        <v>319</v>
      </c>
      <c r="F425" s="1" t="s">
        <v>18</v>
      </c>
      <c r="G425" s="6">
        <v>42862</v>
      </c>
      <c r="H425" s="1">
        <v>2005</v>
      </c>
      <c r="I425" t="s">
        <v>89</v>
      </c>
      <c r="J425" s="1">
        <v>74</v>
      </c>
      <c r="K425" s="1" t="s">
        <v>28</v>
      </c>
      <c r="L425" s="1" t="s">
        <v>21</v>
      </c>
      <c r="M425" s="1">
        <v>7.7</v>
      </c>
      <c r="N425" s="1">
        <v>35.64</v>
      </c>
      <c r="O425" s="1">
        <v>74998000</v>
      </c>
      <c r="P425" t="s">
        <v>2282</v>
      </c>
    </row>
    <row r="426" spans="1:16" x14ac:dyDescent="0.3">
      <c r="A426" s="1" t="s">
        <v>1028</v>
      </c>
      <c r="B426" s="1" t="s">
        <v>14</v>
      </c>
      <c r="C426" s="1" t="s">
        <v>1029</v>
      </c>
      <c r="D426" s="1" t="s">
        <v>72</v>
      </c>
      <c r="E426" s="1" t="s">
        <v>75</v>
      </c>
      <c r="F426" s="1" t="s">
        <v>76</v>
      </c>
      <c r="G426" s="6">
        <v>43157</v>
      </c>
      <c r="H426" s="1">
        <v>1998</v>
      </c>
      <c r="I426" t="s">
        <v>77</v>
      </c>
      <c r="J426" s="1">
        <v>6</v>
      </c>
      <c r="K426" s="1" t="s">
        <v>20</v>
      </c>
      <c r="L426" s="1" t="s">
        <v>69</v>
      </c>
      <c r="M426" s="1">
        <v>6.9</v>
      </c>
      <c r="N426" s="1">
        <v>68.61</v>
      </c>
      <c r="O426" s="1">
        <v>77155000</v>
      </c>
      <c r="P426" t="s">
        <v>2281</v>
      </c>
    </row>
    <row r="427" spans="1:16" x14ac:dyDescent="0.3">
      <c r="A427" s="1" t="s">
        <v>1030</v>
      </c>
      <c r="B427" s="1" t="s">
        <v>14</v>
      </c>
      <c r="C427" s="1" t="s">
        <v>1031</v>
      </c>
      <c r="D427" s="1" t="s">
        <v>24</v>
      </c>
      <c r="E427" s="1" t="s">
        <v>50</v>
      </c>
      <c r="F427" s="1" t="s">
        <v>26</v>
      </c>
      <c r="G427" s="6">
        <v>43264</v>
      </c>
      <c r="H427" s="1">
        <v>2009</v>
      </c>
      <c r="I427" t="s">
        <v>27</v>
      </c>
      <c r="J427" s="1">
        <v>2</v>
      </c>
      <c r="K427" s="1" t="s">
        <v>20</v>
      </c>
      <c r="L427" s="1" t="s">
        <v>21</v>
      </c>
      <c r="M427" s="1">
        <v>7.9</v>
      </c>
      <c r="N427" s="1">
        <v>125.47</v>
      </c>
      <c r="O427" s="1">
        <v>53409000</v>
      </c>
      <c r="P427" t="s">
        <v>2282</v>
      </c>
    </row>
    <row r="428" spans="1:16" x14ac:dyDescent="0.3">
      <c r="A428" s="1" t="s">
        <v>1032</v>
      </c>
      <c r="B428" s="1" t="s">
        <v>14</v>
      </c>
      <c r="C428" s="1" t="s">
        <v>1033</v>
      </c>
      <c r="D428" s="1" t="s">
        <v>62</v>
      </c>
      <c r="E428" s="1" t="s">
        <v>111</v>
      </c>
      <c r="F428" s="1" t="s">
        <v>76</v>
      </c>
      <c r="G428" s="6">
        <v>44491</v>
      </c>
      <c r="H428" s="1">
        <v>2001</v>
      </c>
      <c r="I428" t="s">
        <v>77</v>
      </c>
      <c r="J428" s="1">
        <v>8</v>
      </c>
      <c r="K428" s="1" t="s">
        <v>20</v>
      </c>
      <c r="L428" s="1" t="s">
        <v>21</v>
      </c>
      <c r="M428" s="1">
        <v>7</v>
      </c>
      <c r="N428" s="1">
        <v>6.86</v>
      </c>
      <c r="O428" s="1">
        <v>20316000</v>
      </c>
      <c r="P428" t="s">
        <v>2282</v>
      </c>
    </row>
    <row r="429" spans="1:16" hidden="1" x14ac:dyDescent="0.3">
      <c r="A429" s="1" t="s">
        <v>1034</v>
      </c>
      <c r="B429" s="1" t="s">
        <v>37</v>
      </c>
      <c r="C429" s="1" t="s">
        <v>1035</v>
      </c>
      <c r="D429" s="1" t="s">
        <v>16</v>
      </c>
      <c r="E429" s="1" t="s">
        <v>32</v>
      </c>
      <c r="F429" s="1" t="s">
        <v>18</v>
      </c>
      <c r="G429" s="6">
        <v>44246</v>
      </c>
      <c r="H429" s="1">
        <v>1993</v>
      </c>
      <c r="I429" t="s">
        <v>19</v>
      </c>
      <c r="J429" s="1">
        <v>173</v>
      </c>
      <c r="K429" s="1" t="s">
        <v>28</v>
      </c>
      <c r="L429" s="1" t="s">
        <v>69</v>
      </c>
      <c r="M429" s="1">
        <v>4.7</v>
      </c>
      <c r="N429" s="1">
        <v>47.9</v>
      </c>
      <c r="O429" s="1">
        <v>94136000</v>
      </c>
      <c r="P429" t="s">
        <v>2282</v>
      </c>
    </row>
    <row r="430" spans="1:16" hidden="1" x14ac:dyDescent="0.3">
      <c r="A430" s="1" t="s">
        <v>1036</v>
      </c>
      <c r="B430" s="1" t="s">
        <v>37</v>
      </c>
      <c r="C430" s="1" t="s">
        <v>1037</v>
      </c>
      <c r="D430" s="1" t="s">
        <v>62</v>
      </c>
      <c r="E430" s="1" t="s">
        <v>72</v>
      </c>
      <c r="F430" s="1" t="s">
        <v>45</v>
      </c>
      <c r="G430" s="6">
        <v>43179</v>
      </c>
      <c r="H430" s="1">
        <v>2007</v>
      </c>
      <c r="I430" t="s">
        <v>34</v>
      </c>
      <c r="J430" s="1">
        <v>168</v>
      </c>
      <c r="K430" s="1" t="s">
        <v>28</v>
      </c>
      <c r="L430" s="1" t="s">
        <v>21</v>
      </c>
      <c r="M430" s="1">
        <v>5.4</v>
      </c>
      <c r="N430" s="1">
        <v>62.62</v>
      </c>
      <c r="O430" s="1">
        <v>16245000</v>
      </c>
      <c r="P430" t="s">
        <v>2282</v>
      </c>
    </row>
    <row r="431" spans="1:16" x14ac:dyDescent="0.3">
      <c r="A431" s="1" t="s">
        <v>1038</v>
      </c>
      <c r="B431" s="1" t="s">
        <v>14</v>
      </c>
      <c r="C431" s="1" t="s">
        <v>1039</v>
      </c>
      <c r="D431" s="1" t="s">
        <v>72</v>
      </c>
      <c r="E431" s="1" t="s">
        <v>216</v>
      </c>
      <c r="F431" s="1" t="s">
        <v>26</v>
      </c>
      <c r="G431" s="6">
        <v>42354</v>
      </c>
      <c r="H431" s="1">
        <v>1995</v>
      </c>
      <c r="I431" t="s">
        <v>27</v>
      </c>
      <c r="J431" s="1">
        <v>8</v>
      </c>
      <c r="K431" s="1" t="s">
        <v>20</v>
      </c>
      <c r="L431" s="1" t="s">
        <v>35</v>
      </c>
      <c r="M431" s="1">
        <v>9.4</v>
      </c>
      <c r="N431" s="1">
        <v>15.78</v>
      </c>
      <c r="O431" s="1">
        <v>77658000</v>
      </c>
      <c r="P431" t="s">
        <v>2281</v>
      </c>
    </row>
    <row r="432" spans="1:16" hidden="1" x14ac:dyDescent="0.3">
      <c r="A432" s="1" t="s">
        <v>1040</v>
      </c>
      <c r="B432" s="1" t="s">
        <v>37</v>
      </c>
      <c r="C432" s="1" t="s">
        <v>1041</v>
      </c>
      <c r="D432" s="1" t="s">
        <v>16</v>
      </c>
      <c r="E432" s="1" t="s">
        <v>123</v>
      </c>
      <c r="F432" s="1" t="s">
        <v>45</v>
      </c>
      <c r="G432" s="6">
        <v>44645</v>
      </c>
      <c r="H432" s="1">
        <v>2018</v>
      </c>
      <c r="I432" t="s">
        <v>77</v>
      </c>
      <c r="J432" s="1">
        <v>85</v>
      </c>
      <c r="K432" s="1" t="s">
        <v>28</v>
      </c>
      <c r="L432" s="1" t="s">
        <v>69</v>
      </c>
      <c r="M432" s="1">
        <v>9.1</v>
      </c>
      <c r="N432" s="1">
        <v>32.57</v>
      </c>
      <c r="O432" s="1">
        <v>95790000</v>
      </c>
      <c r="P432" t="s">
        <v>2282</v>
      </c>
    </row>
    <row r="433" spans="1:16" hidden="1" x14ac:dyDescent="0.3">
      <c r="A433" s="1" t="s">
        <v>1042</v>
      </c>
      <c r="B433" s="1" t="s">
        <v>37</v>
      </c>
      <c r="C433" s="1" t="s">
        <v>1043</v>
      </c>
      <c r="D433" s="1" t="s">
        <v>24</v>
      </c>
      <c r="E433" s="1" t="s">
        <v>846</v>
      </c>
      <c r="F433" s="1" t="s">
        <v>59</v>
      </c>
      <c r="G433" s="6">
        <v>45199</v>
      </c>
      <c r="H433" s="1">
        <v>2006</v>
      </c>
      <c r="I433" t="s">
        <v>34</v>
      </c>
      <c r="J433" s="1">
        <v>71</v>
      </c>
      <c r="K433" s="1" t="s">
        <v>28</v>
      </c>
      <c r="L433" s="1" t="s">
        <v>21</v>
      </c>
      <c r="M433" s="1">
        <v>3.3</v>
      </c>
      <c r="N433" s="1">
        <v>128.32</v>
      </c>
      <c r="O433" s="1">
        <v>41286000</v>
      </c>
      <c r="P433" t="s">
        <v>2281</v>
      </c>
    </row>
    <row r="434" spans="1:16" x14ac:dyDescent="0.3">
      <c r="A434" s="1" t="s">
        <v>1044</v>
      </c>
      <c r="B434" s="1" t="s">
        <v>14</v>
      </c>
      <c r="C434" s="1" t="s">
        <v>1045</v>
      </c>
      <c r="D434" s="1" t="s">
        <v>39</v>
      </c>
      <c r="E434" s="1" t="s">
        <v>153</v>
      </c>
      <c r="F434" s="1" t="s">
        <v>76</v>
      </c>
      <c r="G434" s="6">
        <v>44902</v>
      </c>
      <c r="H434" s="1">
        <v>2013</v>
      </c>
      <c r="I434" t="s">
        <v>27</v>
      </c>
      <c r="J434" s="1">
        <v>10</v>
      </c>
      <c r="K434" s="1" t="s">
        <v>20</v>
      </c>
      <c r="L434" s="1" t="s">
        <v>21</v>
      </c>
      <c r="M434" s="1">
        <v>5.8</v>
      </c>
      <c r="N434" s="1">
        <v>96.69</v>
      </c>
      <c r="O434" s="1">
        <v>22218000</v>
      </c>
      <c r="P434" t="s">
        <v>2281</v>
      </c>
    </row>
    <row r="435" spans="1:16" hidden="1" x14ac:dyDescent="0.3">
      <c r="A435" s="1" t="s">
        <v>1046</v>
      </c>
      <c r="B435" s="1" t="s">
        <v>37</v>
      </c>
      <c r="C435" s="1" t="s">
        <v>1047</v>
      </c>
      <c r="D435" s="1" t="s">
        <v>72</v>
      </c>
      <c r="E435" s="1" t="s">
        <v>75</v>
      </c>
      <c r="F435" s="1" t="s">
        <v>158</v>
      </c>
      <c r="G435" s="6">
        <v>43861</v>
      </c>
      <c r="H435" s="1">
        <v>2005</v>
      </c>
      <c r="I435" t="s">
        <v>19</v>
      </c>
      <c r="J435" s="1">
        <v>124</v>
      </c>
      <c r="K435" s="1" t="s">
        <v>28</v>
      </c>
      <c r="L435" s="1" t="s">
        <v>35</v>
      </c>
      <c r="M435" s="1">
        <v>2.7</v>
      </c>
      <c r="N435" s="1">
        <v>115.22</v>
      </c>
      <c r="O435" s="1">
        <v>92832000</v>
      </c>
      <c r="P435" t="s">
        <v>2281</v>
      </c>
    </row>
    <row r="436" spans="1:16" hidden="1" x14ac:dyDescent="0.3">
      <c r="A436" s="1" t="s">
        <v>1048</v>
      </c>
      <c r="B436" s="1" t="s">
        <v>37</v>
      </c>
      <c r="C436" s="1" t="s">
        <v>1049</v>
      </c>
      <c r="D436" s="1" t="s">
        <v>62</v>
      </c>
      <c r="E436" s="1" t="s">
        <v>787</v>
      </c>
      <c r="F436" s="1" t="s">
        <v>18</v>
      </c>
      <c r="G436" s="6">
        <v>44324</v>
      </c>
      <c r="H436" s="1">
        <v>1990</v>
      </c>
      <c r="I436" t="s">
        <v>77</v>
      </c>
      <c r="J436" s="1">
        <v>91</v>
      </c>
      <c r="K436" s="1" t="s">
        <v>28</v>
      </c>
      <c r="L436" s="1" t="s">
        <v>46</v>
      </c>
      <c r="M436" s="1">
        <v>4.0999999999999996</v>
      </c>
      <c r="N436" s="1">
        <v>64.45</v>
      </c>
      <c r="O436" s="1">
        <v>88362000</v>
      </c>
      <c r="P436" t="s">
        <v>2281</v>
      </c>
    </row>
    <row r="437" spans="1:16" x14ac:dyDescent="0.3">
      <c r="A437" s="1" t="s">
        <v>1050</v>
      </c>
      <c r="B437" s="1" t="s">
        <v>14</v>
      </c>
      <c r="C437" s="1" t="s">
        <v>1051</v>
      </c>
      <c r="D437" s="1" t="s">
        <v>39</v>
      </c>
      <c r="E437" s="1" t="s">
        <v>111</v>
      </c>
      <c r="F437" s="1" t="s">
        <v>59</v>
      </c>
      <c r="G437" s="6">
        <v>43058</v>
      </c>
      <c r="H437" s="1">
        <v>2012</v>
      </c>
      <c r="I437" t="s">
        <v>27</v>
      </c>
      <c r="J437" s="1">
        <v>2</v>
      </c>
      <c r="K437" s="1" t="s">
        <v>20</v>
      </c>
      <c r="L437" s="1" t="s">
        <v>52</v>
      </c>
      <c r="M437" s="1">
        <v>7.7</v>
      </c>
      <c r="N437" s="1">
        <v>38.07</v>
      </c>
      <c r="O437" s="1">
        <v>92328000</v>
      </c>
      <c r="P437" t="s">
        <v>2281</v>
      </c>
    </row>
    <row r="438" spans="1:16" hidden="1" x14ac:dyDescent="0.3">
      <c r="A438" s="1" t="s">
        <v>1052</v>
      </c>
      <c r="B438" s="1" t="s">
        <v>37</v>
      </c>
      <c r="C438" s="1" t="s">
        <v>1053</v>
      </c>
      <c r="D438" s="1" t="s">
        <v>16</v>
      </c>
      <c r="E438" s="1" t="s">
        <v>17</v>
      </c>
      <c r="F438" s="1" t="s">
        <v>45</v>
      </c>
      <c r="G438" s="6">
        <v>43810</v>
      </c>
      <c r="H438" s="1">
        <v>2023</v>
      </c>
      <c r="I438" t="s">
        <v>34</v>
      </c>
      <c r="J438" s="1">
        <v>140</v>
      </c>
      <c r="K438" s="1" t="s">
        <v>28</v>
      </c>
      <c r="L438" s="1" t="s">
        <v>35</v>
      </c>
      <c r="M438" s="1">
        <v>9.6999999999999993</v>
      </c>
      <c r="N438" s="1">
        <v>108.74</v>
      </c>
      <c r="O438" s="1">
        <v>58393000</v>
      </c>
      <c r="P438" t="s">
        <v>2281</v>
      </c>
    </row>
    <row r="439" spans="1:16" x14ac:dyDescent="0.3">
      <c r="A439" s="1" t="s">
        <v>1054</v>
      </c>
      <c r="B439" s="1" t="s">
        <v>14</v>
      </c>
      <c r="C439" s="1" t="s">
        <v>1055</v>
      </c>
      <c r="D439" s="1" t="s">
        <v>49</v>
      </c>
      <c r="E439" s="1" t="s">
        <v>17</v>
      </c>
      <c r="F439" s="1" t="s">
        <v>45</v>
      </c>
      <c r="G439" s="6">
        <v>42591</v>
      </c>
      <c r="H439" s="1">
        <v>2020</v>
      </c>
      <c r="I439" t="s">
        <v>77</v>
      </c>
      <c r="J439" s="1">
        <v>3</v>
      </c>
      <c r="K439" s="1" t="s">
        <v>20</v>
      </c>
      <c r="L439" s="1" t="s">
        <v>35</v>
      </c>
      <c r="M439" s="1">
        <v>9.4</v>
      </c>
      <c r="N439" s="1">
        <v>117.74</v>
      </c>
      <c r="O439" s="1">
        <v>1146000</v>
      </c>
      <c r="P439" t="s">
        <v>2282</v>
      </c>
    </row>
    <row r="440" spans="1:16" x14ac:dyDescent="0.3">
      <c r="A440" s="1" t="s">
        <v>1056</v>
      </c>
      <c r="B440" s="1" t="s">
        <v>14</v>
      </c>
      <c r="C440" s="1" t="s">
        <v>1057</v>
      </c>
      <c r="D440" s="1" t="s">
        <v>31</v>
      </c>
      <c r="E440" s="1" t="s">
        <v>111</v>
      </c>
      <c r="F440" s="1" t="s">
        <v>45</v>
      </c>
      <c r="G440" s="6">
        <v>43427</v>
      </c>
      <c r="H440" s="1">
        <v>2002</v>
      </c>
      <c r="I440" t="s">
        <v>89</v>
      </c>
      <c r="J440" s="1">
        <v>4</v>
      </c>
      <c r="K440" s="1" t="s">
        <v>20</v>
      </c>
      <c r="L440" s="1" t="s">
        <v>46</v>
      </c>
      <c r="M440" s="1">
        <v>6</v>
      </c>
      <c r="N440" s="1">
        <v>113.34</v>
      </c>
      <c r="O440" s="1">
        <v>83958000</v>
      </c>
      <c r="P440" t="s">
        <v>2281</v>
      </c>
    </row>
    <row r="441" spans="1:16" x14ac:dyDescent="0.3">
      <c r="A441" s="1" t="s">
        <v>1058</v>
      </c>
      <c r="B441" s="1" t="s">
        <v>14</v>
      </c>
      <c r="C441" s="1" t="s">
        <v>1059</v>
      </c>
      <c r="D441" s="1" t="s">
        <v>16</v>
      </c>
      <c r="E441" s="1" t="s">
        <v>1060</v>
      </c>
      <c r="F441" s="1" t="s">
        <v>18</v>
      </c>
      <c r="G441" s="6">
        <v>42838</v>
      </c>
      <c r="H441" s="1">
        <v>2019</v>
      </c>
      <c r="I441" t="s">
        <v>77</v>
      </c>
      <c r="J441" s="1">
        <v>1</v>
      </c>
      <c r="K441" s="1" t="s">
        <v>20</v>
      </c>
      <c r="L441" s="1" t="s">
        <v>69</v>
      </c>
      <c r="M441" s="1">
        <v>5.4</v>
      </c>
      <c r="N441" s="1">
        <v>136.78</v>
      </c>
      <c r="O441" s="1">
        <v>31405000</v>
      </c>
      <c r="P441" t="s">
        <v>2281</v>
      </c>
    </row>
    <row r="442" spans="1:16" x14ac:dyDescent="0.3">
      <c r="A442" s="1" t="s">
        <v>1061</v>
      </c>
      <c r="B442" s="1" t="s">
        <v>14</v>
      </c>
      <c r="C442" s="1" t="s">
        <v>1062</v>
      </c>
      <c r="D442" s="1" t="s">
        <v>31</v>
      </c>
      <c r="E442" s="1" t="s">
        <v>414</v>
      </c>
      <c r="F442" s="1" t="s">
        <v>45</v>
      </c>
      <c r="G442" s="6">
        <v>45072</v>
      </c>
      <c r="H442" s="1">
        <v>2020</v>
      </c>
      <c r="I442" t="s">
        <v>19</v>
      </c>
      <c r="J442" s="1">
        <v>5</v>
      </c>
      <c r="K442" s="1" t="s">
        <v>20</v>
      </c>
      <c r="L442" s="1" t="s">
        <v>69</v>
      </c>
      <c r="M442" s="1">
        <v>8.6999999999999993</v>
      </c>
      <c r="N442" s="1">
        <v>17.899999999999999</v>
      </c>
      <c r="O442" s="1">
        <v>14686000</v>
      </c>
      <c r="P442" t="s">
        <v>2282</v>
      </c>
    </row>
    <row r="443" spans="1:16" x14ac:dyDescent="0.3">
      <c r="A443" s="1" t="s">
        <v>1063</v>
      </c>
      <c r="B443" s="1" t="s">
        <v>14</v>
      </c>
      <c r="C443" s="1" t="s">
        <v>1064</v>
      </c>
      <c r="D443" s="1" t="s">
        <v>16</v>
      </c>
      <c r="E443" s="1" t="s">
        <v>668</v>
      </c>
      <c r="F443" s="1" t="s">
        <v>18</v>
      </c>
      <c r="G443" s="6">
        <v>44119</v>
      </c>
      <c r="H443" s="1">
        <v>2010</v>
      </c>
      <c r="I443" t="s">
        <v>19</v>
      </c>
      <c r="J443" s="1">
        <v>4</v>
      </c>
      <c r="K443" s="1" t="s">
        <v>20</v>
      </c>
      <c r="L443" s="1" t="s">
        <v>52</v>
      </c>
      <c r="M443" s="1">
        <v>5.2</v>
      </c>
      <c r="N443" s="1">
        <v>3.55</v>
      </c>
      <c r="O443" s="1">
        <v>29557000</v>
      </c>
      <c r="P443" t="s">
        <v>2282</v>
      </c>
    </row>
    <row r="444" spans="1:16" x14ac:dyDescent="0.3">
      <c r="A444" s="1" t="s">
        <v>1065</v>
      </c>
      <c r="B444" s="1" t="s">
        <v>14</v>
      </c>
      <c r="C444" s="1" t="s">
        <v>1066</v>
      </c>
      <c r="D444" s="1" t="s">
        <v>39</v>
      </c>
      <c r="E444" s="1" t="s">
        <v>17</v>
      </c>
      <c r="F444" s="1" t="s">
        <v>26</v>
      </c>
      <c r="G444" s="6">
        <v>43458</v>
      </c>
      <c r="H444" s="1">
        <v>1995</v>
      </c>
      <c r="I444" t="s">
        <v>27</v>
      </c>
      <c r="J444" s="1">
        <v>1</v>
      </c>
      <c r="K444" s="1" t="s">
        <v>20</v>
      </c>
      <c r="L444" s="1" t="s">
        <v>69</v>
      </c>
      <c r="M444" s="1">
        <v>8.6999999999999993</v>
      </c>
      <c r="N444" s="1">
        <v>73.38</v>
      </c>
      <c r="O444" s="1">
        <v>32536000</v>
      </c>
      <c r="P444" t="s">
        <v>2281</v>
      </c>
    </row>
    <row r="445" spans="1:16" hidden="1" x14ac:dyDescent="0.3">
      <c r="A445" s="1" t="s">
        <v>1067</v>
      </c>
      <c r="B445" s="1" t="s">
        <v>37</v>
      </c>
      <c r="C445" s="1" t="s">
        <v>1068</v>
      </c>
      <c r="D445" s="1" t="s">
        <v>39</v>
      </c>
      <c r="E445" s="1" t="s">
        <v>391</v>
      </c>
      <c r="F445" s="1" t="s">
        <v>158</v>
      </c>
      <c r="G445" s="6">
        <v>43255</v>
      </c>
      <c r="H445" s="1">
        <v>2000</v>
      </c>
      <c r="I445" t="s">
        <v>27</v>
      </c>
      <c r="J445" s="1">
        <v>165</v>
      </c>
      <c r="K445" s="1" t="s">
        <v>28</v>
      </c>
      <c r="L445" s="1" t="s">
        <v>69</v>
      </c>
      <c r="M445" s="1">
        <v>4.9000000000000004</v>
      </c>
      <c r="N445" s="1">
        <v>63.36</v>
      </c>
      <c r="O445" s="1">
        <v>14275000</v>
      </c>
      <c r="P445" t="s">
        <v>2281</v>
      </c>
    </row>
    <row r="446" spans="1:16" x14ac:dyDescent="0.3">
      <c r="A446" s="1" t="s">
        <v>1069</v>
      </c>
      <c r="B446" s="1" t="s">
        <v>14</v>
      </c>
      <c r="C446" s="1" t="s">
        <v>1070</v>
      </c>
      <c r="D446" s="1" t="s">
        <v>62</v>
      </c>
      <c r="E446" s="1" t="s">
        <v>72</v>
      </c>
      <c r="F446" s="1" t="s">
        <v>18</v>
      </c>
      <c r="G446" s="6">
        <v>42532</v>
      </c>
      <c r="H446" s="1">
        <v>1991</v>
      </c>
      <c r="I446" t="s">
        <v>89</v>
      </c>
      <c r="J446" s="1">
        <v>6</v>
      </c>
      <c r="K446" s="1" t="s">
        <v>20</v>
      </c>
      <c r="L446" s="1" t="s">
        <v>52</v>
      </c>
      <c r="M446" s="1">
        <v>7.8</v>
      </c>
      <c r="N446" s="1">
        <v>139.06</v>
      </c>
      <c r="O446" s="1">
        <v>27851000</v>
      </c>
      <c r="P446" t="s">
        <v>2282</v>
      </c>
    </row>
    <row r="447" spans="1:16" hidden="1" x14ac:dyDescent="0.3">
      <c r="A447" s="1" t="s">
        <v>1071</v>
      </c>
      <c r="B447" s="1" t="s">
        <v>37</v>
      </c>
      <c r="C447" s="1" t="s">
        <v>1072</v>
      </c>
      <c r="D447" s="1" t="s">
        <v>24</v>
      </c>
      <c r="E447" s="1" t="s">
        <v>372</v>
      </c>
      <c r="F447" s="1" t="s">
        <v>59</v>
      </c>
      <c r="G447" s="6">
        <v>42395</v>
      </c>
      <c r="H447" s="1">
        <v>2011</v>
      </c>
      <c r="I447" t="s">
        <v>27</v>
      </c>
      <c r="J447" s="1">
        <v>78</v>
      </c>
      <c r="K447" s="1" t="s">
        <v>28</v>
      </c>
      <c r="L447" s="1" t="s">
        <v>52</v>
      </c>
      <c r="M447" s="1">
        <v>9.3000000000000007</v>
      </c>
      <c r="N447" s="1">
        <v>20.23</v>
      </c>
      <c r="O447" s="1">
        <v>72102000</v>
      </c>
      <c r="P447" t="s">
        <v>2281</v>
      </c>
    </row>
    <row r="448" spans="1:16" hidden="1" x14ac:dyDescent="0.3">
      <c r="A448" s="1" t="s">
        <v>1073</v>
      </c>
      <c r="B448" s="1" t="s">
        <v>37</v>
      </c>
      <c r="C448" s="1" t="s">
        <v>1074</v>
      </c>
      <c r="D448" s="1" t="s">
        <v>31</v>
      </c>
      <c r="E448" s="1" t="s">
        <v>1075</v>
      </c>
      <c r="F448" s="1" t="s">
        <v>51</v>
      </c>
      <c r="G448" s="6">
        <v>44253</v>
      </c>
      <c r="H448" s="1">
        <v>1991</v>
      </c>
      <c r="I448" t="s">
        <v>19</v>
      </c>
      <c r="J448" s="1">
        <v>129</v>
      </c>
      <c r="K448" s="1" t="s">
        <v>28</v>
      </c>
      <c r="L448" s="1" t="s">
        <v>52</v>
      </c>
      <c r="M448" s="1">
        <v>1.1000000000000001</v>
      </c>
      <c r="N448" s="1">
        <v>140.44999999999999</v>
      </c>
      <c r="O448" s="1">
        <v>97828000</v>
      </c>
      <c r="P448" t="s">
        <v>2282</v>
      </c>
    </row>
    <row r="449" spans="1:16" x14ac:dyDescent="0.3">
      <c r="A449" s="1" t="s">
        <v>1076</v>
      </c>
      <c r="B449" s="1" t="s">
        <v>14</v>
      </c>
      <c r="C449" s="1" t="s">
        <v>1077</v>
      </c>
      <c r="D449" s="1" t="s">
        <v>24</v>
      </c>
      <c r="E449" s="1" t="s">
        <v>72</v>
      </c>
      <c r="F449" s="1" t="s">
        <v>26</v>
      </c>
      <c r="G449" s="6">
        <v>43134</v>
      </c>
      <c r="H449" s="1">
        <v>2004</v>
      </c>
      <c r="I449" t="s">
        <v>27</v>
      </c>
      <c r="J449" s="1">
        <v>4</v>
      </c>
      <c r="K449" s="1" t="s">
        <v>20</v>
      </c>
      <c r="L449" s="1" t="s">
        <v>69</v>
      </c>
      <c r="M449" s="1">
        <v>8.6999999999999993</v>
      </c>
      <c r="N449" s="1">
        <v>132.36000000000001</v>
      </c>
      <c r="O449" s="1">
        <v>46206000</v>
      </c>
      <c r="P449" t="s">
        <v>2281</v>
      </c>
    </row>
    <row r="450" spans="1:16" hidden="1" x14ac:dyDescent="0.3">
      <c r="A450" s="1" t="s">
        <v>1078</v>
      </c>
      <c r="B450" s="1" t="s">
        <v>37</v>
      </c>
      <c r="C450" s="1" t="s">
        <v>1079</v>
      </c>
      <c r="D450" s="1" t="s">
        <v>39</v>
      </c>
      <c r="E450" s="1" t="s">
        <v>111</v>
      </c>
      <c r="F450" s="1" t="s">
        <v>33</v>
      </c>
      <c r="G450" s="6">
        <v>44671</v>
      </c>
      <c r="H450" s="1">
        <v>2023</v>
      </c>
      <c r="I450" t="s">
        <v>55</v>
      </c>
      <c r="J450" s="1">
        <v>75</v>
      </c>
      <c r="K450" s="1" t="s">
        <v>28</v>
      </c>
      <c r="L450" s="1" t="s">
        <v>46</v>
      </c>
      <c r="M450" s="1">
        <v>4.8</v>
      </c>
      <c r="N450" s="1">
        <v>108.92</v>
      </c>
      <c r="O450" s="1">
        <v>28933000</v>
      </c>
      <c r="P450" t="s">
        <v>2282</v>
      </c>
    </row>
    <row r="451" spans="1:16" hidden="1" x14ac:dyDescent="0.3">
      <c r="A451" s="1" t="s">
        <v>1080</v>
      </c>
      <c r="B451" s="1" t="s">
        <v>37</v>
      </c>
      <c r="C451" s="1" t="s">
        <v>1081</v>
      </c>
      <c r="D451" s="1" t="s">
        <v>31</v>
      </c>
      <c r="E451" s="1" t="s">
        <v>72</v>
      </c>
      <c r="F451" s="1" t="s">
        <v>76</v>
      </c>
      <c r="G451" s="6">
        <v>44369</v>
      </c>
      <c r="H451" s="1">
        <v>2018</v>
      </c>
      <c r="I451" t="s">
        <v>27</v>
      </c>
      <c r="J451" s="1">
        <v>162</v>
      </c>
      <c r="K451" s="1" t="s">
        <v>28</v>
      </c>
      <c r="L451" s="1" t="s">
        <v>52</v>
      </c>
      <c r="M451" s="1">
        <v>5.5</v>
      </c>
      <c r="N451" s="1">
        <v>107.06</v>
      </c>
      <c r="O451" s="1">
        <v>87416000</v>
      </c>
      <c r="P451" t="s">
        <v>2282</v>
      </c>
    </row>
    <row r="452" spans="1:16" hidden="1" x14ac:dyDescent="0.3">
      <c r="A452" s="1" t="s">
        <v>1082</v>
      </c>
      <c r="B452" s="1" t="s">
        <v>37</v>
      </c>
      <c r="C452" s="1" t="s">
        <v>1083</v>
      </c>
      <c r="D452" s="1" t="s">
        <v>31</v>
      </c>
      <c r="E452" s="1" t="s">
        <v>953</v>
      </c>
      <c r="F452" s="1" t="s">
        <v>51</v>
      </c>
      <c r="G452" s="6">
        <v>42898</v>
      </c>
      <c r="H452" s="1">
        <v>2001</v>
      </c>
      <c r="I452" t="s">
        <v>19</v>
      </c>
      <c r="J452" s="1">
        <v>96</v>
      </c>
      <c r="K452" s="1" t="s">
        <v>28</v>
      </c>
      <c r="L452" s="1" t="s">
        <v>35</v>
      </c>
      <c r="M452" s="1">
        <v>2.4</v>
      </c>
      <c r="N452" s="1">
        <v>43.17</v>
      </c>
      <c r="O452" s="1">
        <v>1508000</v>
      </c>
      <c r="P452" t="s">
        <v>2281</v>
      </c>
    </row>
    <row r="453" spans="1:16" x14ac:dyDescent="0.3">
      <c r="A453" s="1" t="s">
        <v>1084</v>
      </c>
      <c r="B453" s="1" t="s">
        <v>14</v>
      </c>
      <c r="C453" s="1" t="s">
        <v>1085</v>
      </c>
      <c r="D453" s="1" t="s">
        <v>49</v>
      </c>
      <c r="E453" s="1" t="s">
        <v>201</v>
      </c>
      <c r="F453" s="1" t="s">
        <v>26</v>
      </c>
      <c r="G453" s="6">
        <v>44603</v>
      </c>
      <c r="H453" s="1">
        <v>2006</v>
      </c>
      <c r="I453" t="s">
        <v>55</v>
      </c>
      <c r="J453" s="1">
        <v>6</v>
      </c>
      <c r="K453" s="1" t="s">
        <v>20</v>
      </c>
      <c r="L453" s="1" t="s">
        <v>41</v>
      </c>
      <c r="M453" s="1">
        <v>9.5</v>
      </c>
      <c r="N453" s="1">
        <v>15.78</v>
      </c>
      <c r="O453" s="1">
        <v>30385000</v>
      </c>
      <c r="P453" t="s">
        <v>2281</v>
      </c>
    </row>
    <row r="454" spans="1:16" hidden="1" x14ac:dyDescent="0.3">
      <c r="A454" s="1" t="s">
        <v>1086</v>
      </c>
      <c r="B454" s="1" t="s">
        <v>37</v>
      </c>
      <c r="C454" s="1" t="s">
        <v>1087</v>
      </c>
      <c r="D454" s="1" t="s">
        <v>16</v>
      </c>
      <c r="E454" s="1" t="s">
        <v>518</v>
      </c>
      <c r="F454" s="1" t="s">
        <v>158</v>
      </c>
      <c r="G454" s="6">
        <v>44818</v>
      </c>
      <c r="H454" s="1">
        <v>2000</v>
      </c>
      <c r="I454" t="s">
        <v>19</v>
      </c>
      <c r="J454" s="1">
        <v>99</v>
      </c>
      <c r="K454" s="1" t="s">
        <v>28</v>
      </c>
      <c r="L454" s="1" t="s">
        <v>21</v>
      </c>
      <c r="M454" s="1">
        <v>6.7</v>
      </c>
      <c r="N454" s="1">
        <v>60.58</v>
      </c>
      <c r="O454" s="1">
        <v>9447000</v>
      </c>
      <c r="P454" t="s">
        <v>2282</v>
      </c>
    </row>
    <row r="455" spans="1:16" x14ac:dyDescent="0.3">
      <c r="A455" s="1" t="s">
        <v>1088</v>
      </c>
      <c r="B455" s="1" t="s">
        <v>14</v>
      </c>
      <c r="C455" s="1" t="s">
        <v>1089</v>
      </c>
      <c r="D455" s="1" t="s">
        <v>49</v>
      </c>
      <c r="E455" s="1" t="s">
        <v>123</v>
      </c>
      <c r="F455" s="1" t="s">
        <v>158</v>
      </c>
      <c r="G455" s="6">
        <v>42268</v>
      </c>
      <c r="H455" s="1">
        <v>2016</v>
      </c>
      <c r="I455" t="s">
        <v>19</v>
      </c>
      <c r="J455" s="1">
        <v>1</v>
      </c>
      <c r="K455" s="1" t="s">
        <v>20</v>
      </c>
      <c r="L455" s="1" t="s">
        <v>21</v>
      </c>
      <c r="M455" s="1">
        <v>6.8</v>
      </c>
      <c r="N455" s="1">
        <v>145.16999999999999</v>
      </c>
      <c r="O455" s="1">
        <v>99801000</v>
      </c>
      <c r="P455" t="s">
        <v>2282</v>
      </c>
    </row>
    <row r="456" spans="1:16" hidden="1" x14ac:dyDescent="0.3">
      <c r="A456" s="1" t="s">
        <v>1090</v>
      </c>
      <c r="B456" s="1" t="s">
        <v>37</v>
      </c>
      <c r="C456" s="1" t="s">
        <v>1091</v>
      </c>
      <c r="D456" s="1" t="s">
        <v>72</v>
      </c>
      <c r="E456" s="1" t="s">
        <v>1092</v>
      </c>
      <c r="F456" s="1" t="s">
        <v>45</v>
      </c>
      <c r="G456" s="6">
        <v>44934</v>
      </c>
      <c r="H456" s="1">
        <v>1993</v>
      </c>
      <c r="I456" t="s">
        <v>55</v>
      </c>
      <c r="J456" s="1">
        <v>106</v>
      </c>
      <c r="K456" s="1" t="s">
        <v>28</v>
      </c>
      <c r="L456" s="1" t="s">
        <v>52</v>
      </c>
      <c r="M456" s="1">
        <v>4.5</v>
      </c>
      <c r="N456" s="1">
        <v>148.69</v>
      </c>
      <c r="O456" s="1">
        <v>27389000</v>
      </c>
      <c r="P456" t="s">
        <v>2281</v>
      </c>
    </row>
    <row r="457" spans="1:16" x14ac:dyDescent="0.3">
      <c r="A457" s="1" t="s">
        <v>1093</v>
      </c>
      <c r="B457" s="1" t="s">
        <v>14</v>
      </c>
      <c r="C457" s="1" t="s">
        <v>1094</v>
      </c>
      <c r="D457" s="1" t="s">
        <v>39</v>
      </c>
      <c r="E457" s="1" t="s">
        <v>295</v>
      </c>
      <c r="F457" s="1" t="s">
        <v>26</v>
      </c>
      <c r="G457" s="6">
        <v>43461</v>
      </c>
      <c r="H457" s="1">
        <v>2011</v>
      </c>
      <c r="I457" t="s">
        <v>19</v>
      </c>
      <c r="J457" s="1">
        <v>9</v>
      </c>
      <c r="K457" s="1" t="s">
        <v>20</v>
      </c>
      <c r="L457" s="1" t="s">
        <v>46</v>
      </c>
      <c r="M457" s="1">
        <v>999</v>
      </c>
      <c r="N457" s="1">
        <v>55.99</v>
      </c>
      <c r="O457" s="1">
        <v>38801000</v>
      </c>
      <c r="P457" t="s">
        <v>2281</v>
      </c>
    </row>
    <row r="458" spans="1:16" hidden="1" x14ac:dyDescent="0.3">
      <c r="A458" s="1" t="s">
        <v>1095</v>
      </c>
      <c r="B458" s="1" t="s">
        <v>37</v>
      </c>
      <c r="C458" s="1" t="s">
        <v>1096</v>
      </c>
      <c r="D458" s="1" t="s">
        <v>24</v>
      </c>
      <c r="E458" s="1" t="s">
        <v>50</v>
      </c>
      <c r="F458" s="1" t="s">
        <v>45</v>
      </c>
      <c r="G458" s="6">
        <v>42506</v>
      </c>
      <c r="H458" s="1">
        <v>1998</v>
      </c>
      <c r="I458" t="s">
        <v>89</v>
      </c>
      <c r="J458" s="1">
        <v>137</v>
      </c>
      <c r="K458" s="1" t="s">
        <v>28</v>
      </c>
      <c r="L458" s="1" t="s">
        <v>52</v>
      </c>
      <c r="M458" s="1">
        <v>7.1</v>
      </c>
      <c r="N458" s="1">
        <v>97.6</v>
      </c>
      <c r="O458" s="1">
        <v>73612000</v>
      </c>
      <c r="P458" t="s">
        <v>2281</v>
      </c>
    </row>
    <row r="459" spans="1:16" hidden="1" x14ac:dyDescent="0.3">
      <c r="A459" s="1" t="s">
        <v>1097</v>
      </c>
      <c r="B459" s="1" t="s">
        <v>37</v>
      </c>
      <c r="C459" s="1" t="s">
        <v>1098</v>
      </c>
      <c r="D459" s="1" t="s">
        <v>62</v>
      </c>
      <c r="E459" s="1" t="s">
        <v>344</v>
      </c>
      <c r="F459" s="1" t="s">
        <v>76</v>
      </c>
      <c r="G459" s="6">
        <v>43065</v>
      </c>
      <c r="H459" s="1">
        <v>2013</v>
      </c>
      <c r="I459" t="s">
        <v>55</v>
      </c>
      <c r="J459" s="1">
        <v>174</v>
      </c>
      <c r="K459" s="1" t="s">
        <v>28</v>
      </c>
      <c r="L459" s="1" t="s">
        <v>21</v>
      </c>
      <c r="M459" s="1">
        <v>4.0999999999999996</v>
      </c>
      <c r="N459" s="1">
        <v>119.87</v>
      </c>
      <c r="O459" s="1">
        <v>23440000</v>
      </c>
      <c r="P459" t="s">
        <v>2281</v>
      </c>
    </row>
    <row r="460" spans="1:16" hidden="1" x14ac:dyDescent="0.3">
      <c r="A460" s="1" t="s">
        <v>1099</v>
      </c>
      <c r="B460" s="1" t="s">
        <v>37</v>
      </c>
      <c r="C460" s="1" t="s">
        <v>1100</v>
      </c>
      <c r="D460" s="1" t="s">
        <v>62</v>
      </c>
      <c r="E460" s="1" t="s">
        <v>1101</v>
      </c>
      <c r="F460" s="1" t="s">
        <v>18</v>
      </c>
      <c r="G460" s="6">
        <v>44355</v>
      </c>
      <c r="H460" s="1">
        <v>2002</v>
      </c>
      <c r="I460" t="s">
        <v>77</v>
      </c>
      <c r="J460" s="1">
        <v>169</v>
      </c>
      <c r="K460" s="1" t="s">
        <v>28</v>
      </c>
      <c r="L460" s="1" t="s">
        <v>46</v>
      </c>
      <c r="M460" s="1">
        <v>7.2</v>
      </c>
      <c r="N460" s="1">
        <v>96.92</v>
      </c>
      <c r="O460" s="1">
        <v>37690000</v>
      </c>
      <c r="P460" t="s">
        <v>2281</v>
      </c>
    </row>
    <row r="461" spans="1:16" x14ac:dyDescent="0.3">
      <c r="A461" s="1" t="s">
        <v>1102</v>
      </c>
      <c r="B461" s="1" t="s">
        <v>14</v>
      </c>
      <c r="C461" s="1" t="s">
        <v>1103</v>
      </c>
      <c r="D461" s="1" t="s">
        <v>49</v>
      </c>
      <c r="E461" s="1" t="s">
        <v>636</v>
      </c>
      <c r="F461" s="1" t="s">
        <v>45</v>
      </c>
      <c r="G461" s="6">
        <v>44809</v>
      </c>
      <c r="H461" s="1">
        <v>2018</v>
      </c>
      <c r="I461" t="s">
        <v>55</v>
      </c>
      <c r="J461" s="1">
        <v>7</v>
      </c>
      <c r="K461" s="1" t="s">
        <v>20</v>
      </c>
      <c r="L461" s="1" t="s">
        <v>46</v>
      </c>
      <c r="M461" s="1">
        <v>4.0999999999999996</v>
      </c>
      <c r="N461" s="1">
        <v>79.02</v>
      </c>
      <c r="O461" s="1">
        <v>79921000</v>
      </c>
      <c r="P461" t="s">
        <v>2281</v>
      </c>
    </row>
    <row r="462" spans="1:16" x14ac:dyDescent="0.3">
      <c r="A462" s="1" t="s">
        <v>1104</v>
      </c>
      <c r="B462" s="1" t="s">
        <v>14</v>
      </c>
      <c r="C462" s="1" t="s">
        <v>1105</v>
      </c>
      <c r="D462" s="1" t="s">
        <v>72</v>
      </c>
      <c r="E462" s="1" t="s">
        <v>40</v>
      </c>
      <c r="F462" s="1" t="s">
        <v>18</v>
      </c>
      <c r="G462" s="6">
        <v>42161</v>
      </c>
      <c r="H462" s="1">
        <v>2016</v>
      </c>
      <c r="I462" t="s">
        <v>89</v>
      </c>
      <c r="J462" s="1">
        <v>10</v>
      </c>
      <c r="K462" s="1" t="s">
        <v>20</v>
      </c>
      <c r="L462" s="1" t="s">
        <v>41</v>
      </c>
      <c r="M462" s="1">
        <v>3.7</v>
      </c>
      <c r="N462" s="1">
        <v>86.34</v>
      </c>
      <c r="O462" s="1">
        <v>98901000</v>
      </c>
      <c r="P462" t="s">
        <v>2282</v>
      </c>
    </row>
    <row r="463" spans="1:16" hidden="1" x14ac:dyDescent="0.3">
      <c r="A463" s="1" t="s">
        <v>1106</v>
      </c>
      <c r="B463" s="1" t="s">
        <v>37</v>
      </c>
      <c r="C463" s="1" t="s">
        <v>1107</v>
      </c>
      <c r="D463" s="1" t="s">
        <v>49</v>
      </c>
      <c r="E463" s="1" t="s">
        <v>17</v>
      </c>
      <c r="F463" s="1" t="s">
        <v>18</v>
      </c>
      <c r="G463" s="6">
        <v>44495</v>
      </c>
      <c r="H463" s="1">
        <v>2017</v>
      </c>
      <c r="I463" t="s">
        <v>34</v>
      </c>
      <c r="J463" s="1">
        <v>156</v>
      </c>
      <c r="K463" s="1" t="s">
        <v>28</v>
      </c>
      <c r="L463" s="1" t="s">
        <v>21</v>
      </c>
      <c r="M463" s="1">
        <v>4.0999999999999996</v>
      </c>
      <c r="N463" s="1">
        <v>49.57</v>
      </c>
      <c r="O463" s="1">
        <v>38789000</v>
      </c>
      <c r="P463" t="s">
        <v>2282</v>
      </c>
    </row>
    <row r="464" spans="1:16" x14ac:dyDescent="0.3">
      <c r="A464" s="1" t="s">
        <v>1108</v>
      </c>
      <c r="B464" s="1" t="s">
        <v>14</v>
      </c>
      <c r="C464" s="1" t="s">
        <v>1109</v>
      </c>
      <c r="D464" s="1" t="s">
        <v>62</v>
      </c>
      <c r="E464" s="1" t="s">
        <v>290</v>
      </c>
      <c r="F464" s="1" t="s">
        <v>51</v>
      </c>
      <c r="G464" s="6">
        <v>43560</v>
      </c>
      <c r="H464" s="1">
        <v>1996</v>
      </c>
      <c r="I464" t="s">
        <v>89</v>
      </c>
      <c r="J464" s="1">
        <v>3</v>
      </c>
      <c r="K464" s="1" t="s">
        <v>20</v>
      </c>
      <c r="L464" s="1" t="s">
        <v>41</v>
      </c>
      <c r="M464" s="1">
        <v>7.3</v>
      </c>
      <c r="N464" s="1">
        <v>18.190000000000001</v>
      </c>
      <c r="O464" s="1">
        <v>20117000</v>
      </c>
      <c r="P464" t="s">
        <v>2282</v>
      </c>
    </row>
    <row r="465" spans="1:16" x14ac:dyDescent="0.3">
      <c r="A465" s="1" t="s">
        <v>1110</v>
      </c>
      <c r="B465" s="1" t="s">
        <v>14</v>
      </c>
      <c r="C465" s="1" t="s">
        <v>1111</v>
      </c>
      <c r="D465" s="1" t="s">
        <v>72</v>
      </c>
      <c r="E465" s="1" t="s">
        <v>1112</v>
      </c>
      <c r="F465" s="1" t="s">
        <v>33</v>
      </c>
      <c r="G465" s="6">
        <v>44576</v>
      </c>
      <c r="H465" s="1">
        <v>2009</v>
      </c>
      <c r="I465" t="s">
        <v>19</v>
      </c>
      <c r="J465" s="1">
        <v>6</v>
      </c>
      <c r="K465" s="1" t="s">
        <v>20</v>
      </c>
      <c r="L465" s="1" t="s">
        <v>41</v>
      </c>
      <c r="M465" s="1">
        <v>3.4</v>
      </c>
      <c r="N465" s="1">
        <v>102.3</v>
      </c>
      <c r="O465" s="1">
        <v>82583000</v>
      </c>
      <c r="P465" t="s">
        <v>2281</v>
      </c>
    </row>
    <row r="466" spans="1:16" hidden="1" x14ac:dyDescent="0.3">
      <c r="A466" s="1" t="s">
        <v>1113</v>
      </c>
      <c r="B466" s="1" t="s">
        <v>37</v>
      </c>
      <c r="C466" s="1" t="s">
        <v>1114</v>
      </c>
      <c r="D466" s="1" t="s">
        <v>62</v>
      </c>
      <c r="E466" s="1" t="s">
        <v>50</v>
      </c>
      <c r="F466" s="1" t="s">
        <v>76</v>
      </c>
      <c r="G466" s="6">
        <v>42104</v>
      </c>
      <c r="H466" s="1">
        <v>2006</v>
      </c>
      <c r="I466" t="s">
        <v>19</v>
      </c>
      <c r="J466" s="1">
        <v>108</v>
      </c>
      <c r="K466" s="1" t="s">
        <v>28</v>
      </c>
      <c r="L466" s="1" t="s">
        <v>52</v>
      </c>
      <c r="M466" s="1">
        <v>5.2</v>
      </c>
      <c r="N466" s="1">
        <v>26.24</v>
      </c>
      <c r="O466" s="1">
        <v>9796000</v>
      </c>
      <c r="P466" t="s">
        <v>2282</v>
      </c>
    </row>
    <row r="467" spans="1:16" hidden="1" x14ac:dyDescent="0.3">
      <c r="A467" s="1" t="s">
        <v>1115</v>
      </c>
      <c r="B467" s="1" t="s">
        <v>37</v>
      </c>
      <c r="C467" s="1" t="s">
        <v>1116</v>
      </c>
      <c r="D467" s="1" t="s">
        <v>62</v>
      </c>
      <c r="E467" s="1" t="s">
        <v>111</v>
      </c>
      <c r="F467" s="1" t="s">
        <v>33</v>
      </c>
      <c r="G467" s="6">
        <v>44846</v>
      </c>
      <c r="H467" s="1">
        <v>2004</v>
      </c>
      <c r="I467" t="s">
        <v>27</v>
      </c>
      <c r="J467" s="1">
        <v>80</v>
      </c>
      <c r="K467" s="1" t="s">
        <v>28</v>
      </c>
      <c r="L467" s="1" t="s">
        <v>41</v>
      </c>
      <c r="M467" s="1">
        <v>9.5</v>
      </c>
      <c r="N467" s="1">
        <v>62.43</v>
      </c>
      <c r="O467" s="1">
        <v>92489000</v>
      </c>
      <c r="P467" t="s">
        <v>2282</v>
      </c>
    </row>
    <row r="468" spans="1:16" hidden="1" x14ac:dyDescent="0.3">
      <c r="A468" s="1" t="s">
        <v>1117</v>
      </c>
      <c r="B468" s="1" t="s">
        <v>37</v>
      </c>
      <c r="C468" s="1" t="s">
        <v>1118</v>
      </c>
      <c r="D468" s="1" t="s">
        <v>24</v>
      </c>
      <c r="E468" s="1" t="s">
        <v>169</v>
      </c>
      <c r="F468" s="1" t="s">
        <v>45</v>
      </c>
      <c r="G468" s="6">
        <v>45042</v>
      </c>
      <c r="H468" s="1">
        <v>2023</v>
      </c>
      <c r="I468" t="s">
        <v>55</v>
      </c>
      <c r="J468" s="1">
        <v>161</v>
      </c>
      <c r="K468" s="1" t="s">
        <v>28</v>
      </c>
      <c r="L468" s="1" t="s">
        <v>52</v>
      </c>
      <c r="M468" s="1">
        <v>6.4</v>
      </c>
      <c r="N468" s="1">
        <v>128.09</v>
      </c>
      <c r="O468" s="1">
        <v>67137000</v>
      </c>
      <c r="P468" t="s">
        <v>2281</v>
      </c>
    </row>
    <row r="469" spans="1:16" hidden="1" x14ac:dyDescent="0.3">
      <c r="A469" s="1" t="s">
        <v>1119</v>
      </c>
      <c r="B469" s="1" t="s">
        <v>37</v>
      </c>
      <c r="C469" s="1" t="s">
        <v>1120</v>
      </c>
      <c r="D469" s="1" t="s">
        <v>31</v>
      </c>
      <c r="E469" s="1" t="s">
        <v>232</v>
      </c>
      <c r="F469" s="1" t="s">
        <v>26</v>
      </c>
      <c r="G469" s="6">
        <v>42263</v>
      </c>
      <c r="H469" s="1">
        <v>1994</v>
      </c>
      <c r="I469" t="s">
        <v>77</v>
      </c>
      <c r="J469" s="1">
        <v>152</v>
      </c>
      <c r="K469" s="1" t="s">
        <v>28</v>
      </c>
      <c r="L469" s="1" t="s">
        <v>21</v>
      </c>
      <c r="M469" s="1">
        <v>9.1999999999999993</v>
      </c>
      <c r="N469" s="1">
        <v>129.77000000000001</v>
      </c>
      <c r="O469" s="1">
        <v>86357000</v>
      </c>
      <c r="P469" t="s">
        <v>2282</v>
      </c>
    </row>
    <row r="470" spans="1:16" x14ac:dyDescent="0.3">
      <c r="A470" s="1" t="s">
        <v>1121</v>
      </c>
      <c r="B470" s="1" t="s">
        <v>14</v>
      </c>
      <c r="C470" s="1" t="s">
        <v>1122</v>
      </c>
      <c r="D470" s="1" t="s">
        <v>49</v>
      </c>
      <c r="E470" s="1" t="s">
        <v>1123</v>
      </c>
      <c r="F470" s="1" t="s">
        <v>51</v>
      </c>
      <c r="G470" s="6">
        <v>42601</v>
      </c>
      <c r="H470" s="1">
        <v>2006</v>
      </c>
      <c r="I470" t="s">
        <v>19</v>
      </c>
      <c r="J470" s="1">
        <v>7</v>
      </c>
      <c r="K470" s="1" t="s">
        <v>20</v>
      </c>
      <c r="L470" s="1" t="s">
        <v>35</v>
      </c>
      <c r="M470" s="1">
        <v>9.6999999999999993</v>
      </c>
      <c r="N470" s="1">
        <v>149.04</v>
      </c>
      <c r="O470" s="1">
        <v>49870000</v>
      </c>
      <c r="P470" t="s">
        <v>2281</v>
      </c>
    </row>
    <row r="471" spans="1:16" hidden="1" x14ac:dyDescent="0.3">
      <c r="A471" s="1" t="s">
        <v>1124</v>
      </c>
      <c r="B471" s="1" t="s">
        <v>37</v>
      </c>
      <c r="C471" s="1" t="s">
        <v>1125</v>
      </c>
      <c r="D471" s="1" t="s">
        <v>62</v>
      </c>
      <c r="E471" s="1" t="s">
        <v>419</v>
      </c>
      <c r="F471" s="1" t="s">
        <v>26</v>
      </c>
      <c r="G471" s="6">
        <v>45223</v>
      </c>
      <c r="H471" s="1">
        <v>2015</v>
      </c>
      <c r="I471" t="s">
        <v>19</v>
      </c>
      <c r="J471" s="1">
        <v>106</v>
      </c>
      <c r="K471" s="1" t="s">
        <v>28</v>
      </c>
      <c r="L471" s="1" t="s">
        <v>41</v>
      </c>
      <c r="M471" s="1">
        <v>9.5</v>
      </c>
      <c r="N471" s="1">
        <v>141.97</v>
      </c>
      <c r="O471" s="1">
        <v>98268000</v>
      </c>
      <c r="P471" t="s">
        <v>2282</v>
      </c>
    </row>
    <row r="472" spans="1:16" hidden="1" x14ac:dyDescent="0.3">
      <c r="A472" s="1" t="s">
        <v>1126</v>
      </c>
      <c r="B472" s="1" t="s">
        <v>37</v>
      </c>
      <c r="C472" s="1" t="s">
        <v>1127</v>
      </c>
      <c r="D472" s="1" t="s">
        <v>72</v>
      </c>
      <c r="E472" s="1" t="s">
        <v>123</v>
      </c>
      <c r="F472" s="1" t="s">
        <v>45</v>
      </c>
      <c r="G472" s="6">
        <v>43500</v>
      </c>
      <c r="H472" s="1">
        <v>1999</v>
      </c>
      <c r="I472" t="s">
        <v>34</v>
      </c>
      <c r="J472" s="1">
        <v>140</v>
      </c>
      <c r="K472" s="1" t="s">
        <v>28</v>
      </c>
      <c r="L472" s="1" t="s">
        <v>69</v>
      </c>
      <c r="M472" s="1">
        <v>8.1999999999999993</v>
      </c>
      <c r="N472" s="1">
        <v>48.66</v>
      </c>
      <c r="O472" s="1">
        <v>94977000</v>
      </c>
      <c r="P472" t="s">
        <v>2282</v>
      </c>
    </row>
    <row r="473" spans="1:16" hidden="1" x14ac:dyDescent="0.3">
      <c r="A473" s="1" t="s">
        <v>1128</v>
      </c>
      <c r="B473" s="1" t="s">
        <v>37</v>
      </c>
      <c r="C473" s="1" t="s">
        <v>1129</v>
      </c>
      <c r="D473" s="1" t="s">
        <v>62</v>
      </c>
      <c r="E473" s="1" t="s">
        <v>344</v>
      </c>
      <c r="F473" s="1" t="s">
        <v>33</v>
      </c>
      <c r="G473" s="6">
        <v>42672</v>
      </c>
      <c r="H473" s="1">
        <v>2013</v>
      </c>
      <c r="I473" t="s">
        <v>89</v>
      </c>
      <c r="J473" s="1">
        <v>85</v>
      </c>
      <c r="K473" s="1" t="s">
        <v>28</v>
      </c>
      <c r="L473" s="1" t="s">
        <v>41</v>
      </c>
      <c r="M473" s="1">
        <v>5.9</v>
      </c>
      <c r="N473" s="1">
        <v>1.68</v>
      </c>
      <c r="O473" s="1">
        <v>10435000</v>
      </c>
      <c r="P473" t="s">
        <v>2282</v>
      </c>
    </row>
    <row r="474" spans="1:16" x14ac:dyDescent="0.3">
      <c r="A474" s="1" t="s">
        <v>1130</v>
      </c>
      <c r="B474" s="1" t="s">
        <v>14</v>
      </c>
      <c r="C474" s="1" t="s">
        <v>1131</v>
      </c>
      <c r="D474" s="1" t="s">
        <v>49</v>
      </c>
      <c r="E474" s="1" t="s">
        <v>141</v>
      </c>
      <c r="F474" s="1" t="s">
        <v>51</v>
      </c>
      <c r="G474" s="6">
        <v>44141</v>
      </c>
      <c r="H474" s="1">
        <v>1999</v>
      </c>
      <c r="I474" t="s">
        <v>77</v>
      </c>
      <c r="J474" s="1">
        <v>2</v>
      </c>
      <c r="K474" s="1" t="s">
        <v>20</v>
      </c>
      <c r="L474" s="1" t="s">
        <v>41</v>
      </c>
      <c r="M474" s="1">
        <v>8.5</v>
      </c>
      <c r="N474" s="1">
        <v>53.17</v>
      </c>
      <c r="O474" s="1">
        <v>51510000</v>
      </c>
      <c r="P474" t="s">
        <v>2281</v>
      </c>
    </row>
    <row r="475" spans="1:16" hidden="1" x14ac:dyDescent="0.3">
      <c r="A475" s="1" t="s">
        <v>1132</v>
      </c>
      <c r="B475" s="1" t="s">
        <v>37</v>
      </c>
      <c r="C475" s="1" t="s">
        <v>1133</v>
      </c>
      <c r="D475" s="1" t="s">
        <v>39</v>
      </c>
      <c r="E475" s="1" t="s">
        <v>153</v>
      </c>
      <c r="F475" s="1" t="s">
        <v>26</v>
      </c>
      <c r="G475" s="6">
        <v>43632</v>
      </c>
      <c r="H475" s="1">
        <v>2008</v>
      </c>
      <c r="I475" t="s">
        <v>34</v>
      </c>
      <c r="J475" s="1">
        <v>69</v>
      </c>
      <c r="K475" s="1" t="s">
        <v>28</v>
      </c>
      <c r="L475" s="1" t="s">
        <v>52</v>
      </c>
      <c r="M475" s="1">
        <v>4.0999999999999996</v>
      </c>
      <c r="N475" s="1">
        <v>52.93</v>
      </c>
      <c r="O475" s="1">
        <v>81367000</v>
      </c>
      <c r="P475" t="s">
        <v>2281</v>
      </c>
    </row>
    <row r="476" spans="1:16" hidden="1" x14ac:dyDescent="0.3">
      <c r="A476" s="1" t="s">
        <v>1134</v>
      </c>
      <c r="B476" s="1" t="s">
        <v>37</v>
      </c>
      <c r="C476" s="1" t="s">
        <v>1135</v>
      </c>
      <c r="D476" s="1" t="s">
        <v>24</v>
      </c>
      <c r="E476" s="1" t="s">
        <v>123</v>
      </c>
      <c r="F476" s="1" t="s">
        <v>33</v>
      </c>
      <c r="G476" s="6">
        <v>44178</v>
      </c>
      <c r="H476" s="1">
        <v>1999</v>
      </c>
      <c r="I476" t="s">
        <v>55</v>
      </c>
      <c r="J476" s="1">
        <v>169</v>
      </c>
      <c r="K476" s="1" t="s">
        <v>28</v>
      </c>
      <c r="L476" s="1" t="s">
        <v>46</v>
      </c>
      <c r="M476" s="1">
        <v>3.9</v>
      </c>
      <c r="N476" s="1">
        <v>69.400000000000006</v>
      </c>
      <c r="O476" s="1">
        <v>59729000</v>
      </c>
      <c r="P476" t="s">
        <v>2282</v>
      </c>
    </row>
    <row r="477" spans="1:16" hidden="1" x14ac:dyDescent="0.3">
      <c r="A477" s="1" t="s">
        <v>1136</v>
      </c>
      <c r="B477" s="1" t="s">
        <v>37</v>
      </c>
      <c r="C477" s="1" t="s">
        <v>1137</v>
      </c>
      <c r="D477" s="1" t="s">
        <v>39</v>
      </c>
      <c r="E477" s="1" t="s">
        <v>377</v>
      </c>
      <c r="F477" s="1" t="s">
        <v>51</v>
      </c>
      <c r="G477" s="6">
        <v>42232</v>
      </c>
      <c r="H477" s="1">
        <v>1999</v>
      </c>
      <c r="I477" t="s">
        <v>89</v>
      </c>
      <c r="J477" s="1">
        <v>154</v>
      </c>
      <c r="K477" s="1" t="s">
        <v>28</v>
      </c>
      <c r="L477" s="1" t="s">
        <v>69</v>
      </c>
      <c r="M477" s="1">
        <v>2.5</v>
      </c>
      <c r="N477" s="1">
        <v>63.68</v>
      </c>
      <c r="O477" s="1">
        <v>10351000</v>
      </c>
      <c r="P477" t="s">
        <v>2281</v>
      </c>
    </row>
    <row r="478" spans="1:16" hidden="1" x14ac:dyDescent="0.3">
      <c r="A478" s="1" t="s">
        <v>1138</v>
      </c>
      <c r="B478" s="1" t="s">
        <v>37</v>
      </c>
      <c r="C478" s="1" t="s">
        <v>1139</v>
      </c>
      <c r="D478" s="1" t="s">
        <v>39</v>
      </c>
      <c r="E478" s="1" t="s">
        <v>1140</v>
      </c>
      <c r="F478" s="1" t="s">
        <v>59</v>
      </c>
      <c r="G478" s="6">
        <v>43455</v>
      </c>
      <c r="H478" s="1">
        <v>2015</v>
      </c>
      <c r="I478" t="s">
        <v>19</v>
      </c>
      <c r="J478" s="1">
        <v>139</v>
      </c>
      <c r="K478" s="1" t="s">
        <v>28</v>
      </c>
      <c r="L478" s="1" t="s">
        <v>52</v>
      </c>
      <c r="M478" s="1">
        <v>4.8</v>
      </c>
      <c r="N478" s="1">
        <v>103.12</v>
      </c>
      <c r="O478" s="1">
        <v>39919000</v>
      </c>
      <c r="P478" t="s">
        <v>2281</v>
      </c>
    </row>
    <row r="479" spans="1:16" x14ac:dyDescent="0.3">
      <c r="A479" s="1" t="s">
        <v>1141</v>
      </c>
      <c r="B479" s="1" t="s">
        <v>14</v>
      </c>
      <c r="C479" s="1" t="s">
        <v>1142</v>
      </c>
      <c r="D479" s="1" t="s">
        <v>62</v>
      </c>
      <c r="E479" s="1" t="s">
        <v>75</v>
      </c>
      <c r="F479" s="1" t="s">
        <v>26</v>
      </c>
      <c r="G479" s="6">
        <v>44970</v>
      </c>
      <c r="H479" s="1">
        <v>1998</v>
      </c>
      <c r="I479" t="s">
        <v>34</v>
      </c>
      <c r="J479" s="1">
        <v>6</v>
      </c>
      <c r="K479" s="1" t="s">
        <v>20</v>
      </c>
      <c r="L479" s="1" t="s">
        <v>41</v>
      </c>
      <c r="M479" s="1">
        <v>5.5</v>
      </c>
      <c r="N479" s="1">
        <v>51.13</v>
      </c>
      <c r="O479" s="1">
        <v>28420000</v>
      </c>
      <c r="P479" t="s">
        <v>2282</v>
      </c>
    </row>
    <row r="480" spans="1:16" hidden="1" x14ac:dyDescent="0.3">
      <c r="A480" s="1" t="s">
        <v>1143</v>
      </c>
      <c r="B480" s="1" t="s">
        <v>37</v>
      </c>
      <c r="C480" s="1" t="s">
        <v>1144</v>
      </c>
      <c r="D480" s="1" t="s">
        <v>16</v>
      </c>
      <c r="E480" s="1" t="s">
        <v>347</v>
      </c>
      <c r="F480" s="1" t="s">
        <v>51</v>
      </c>
      <c r="G480" s="6">
        <v>44827</v>
      </c>
      <c r="H480" s="1">
        <v>1994</v>
      </c>
      <c r="I480" t="s">
        <v>34</v>
      </c>
      <c r="J480" s="1">
        <v>100</v>
      </c>
      <c r="K480" s="1" t="s">
        <v>28</v>
      </c>
      <c r="L480" s="1" t="s">
        <v>69</v>
      </c>
      <c r="M480" s="1">
        <v>1</v>
      </c>
      <c r="N480" s="1">
        <v>131.97999999999999</v>
      </c>
      <c r="O480" s="1">
        <v>77323000</v>
      </c>
      <c r="P480" t="s">
        <v>2281</v>
      </c>
    </row>
    <row r="481" spans="1:16" hidden="1" x14ac:dyDescent="0.3">
      <c r="A481" s="1" t="s">
        <v>1145</v>
      </c>
      <c r="B481" s="1" t="s">
        <v>37</v>
      </c>
      <c r="C481" s="1" t="s">
        <v>1146</v>
      </c>
      <c r="D481" s="1" t="s">
        <v>39</v>
      </c>
      <c r="E481" s="1" t="s">
        <v>111</v>
      </c>
      <c r="F481" s="1" t="s">
        <v>45</v>
      </c>
      <c r="G481" s="6">
        <v>44136</v>
      </c>
      <c r="H481" s="1">
        <v>2021</v>
      </c>
      <c r="I481" t="s">
        <v>77</v>
      </c>
      <c r="J481" s="1">
        <v>143</v>
      </c>
      <c r="K481" s="1" t="s">
        <v>28</v>
      </c>
      <c r="L481" s="1" t="s">
        <v>46</v>
      </c>
      <c r="M481" s="1">
        <v>5.3</v>
      </c>
      <c r="N481" s="1">
        <v>69.78</v>
      </c>
      <c r="O481" s="1">
        <v>86883000</v>
      </c>
      <c r="P481" t="s">
        <v>2282</v>
      </c>
    </row>
    <row r="482" spans="1:16" x14ac:dyDescent="0.3">
      <c r="A482" s="1" t="s">
        <v>1147</v>
      </c>
      <c r="B482" s="1" t="s">
        <v>14</v>
      </c>
      <c r="C482" s="1" t="s">
        <v>1148</v>
      </c>
      <c r="D482" s="1" t="s">
        <v>24</v>
      </c>
      <c r="E482" s="1" t="s">
        <v>63</v>
      </c>
      <c r="F482" s="1" t="s">
        <v>45</v>
      </c>
      <c r="G482" s="6">
        <v>42804</v>
      </c>
      <c r="H482" s="1">
        <v>1993</v>
      </c>
      <c r="I482" t="s">
        <v>19</v>
      </c>
      <c r="J482" s="1">
        <v>10</v>
      </c>
      <c r="K482" s="1" t="s">
        <v>20</v>
      </c>
      <c r="L482" s="1" t="s">
        <v>69</v>
      </c>
      <c r="M482" s="1">
        <v>9.9</v>
      </c>
      <c r="N482" s="1">
        <v>132.63999999999999</v>
      </c>
      <c r="O482" s="1">
        <v>92828000</v>
      </c>
      <c r="P482" t="s">
        <v>2282</v>
      </c>
    </row>
    <row r="483" spans="1:16" hidden="1" x14ac:dyDescent="0.3">
      <c r="A483" s="1" t="s">
        <v>1149</v>
      </c>
      <c r="B483" s="1" t="s">
        <v>37</v>
      </c>
      <c r="C483" s="1" t="s">
        <v>1150</v>
      </c>
      <c r="D483" s="1" t="s">
        <v>49</v>
      </c>
      <c r="E483" s="1" t="s">
        <v>141</v>
      </c>
      <c r="F483" s="1" t="s">
        <v>45</v>
      </c>
      <c r="G483" s="6">
        <v>43226</v>
      </c>
      <c r="H483" s="1">
        <v>2009</v>
      </c>
      <c r="I483" t="s">
        <v>89</v>
      </c>
      <c r="J483" s="1">
        <v>159</v>
      </c>
      <c r="K483" s="1" t="s">
        <v>28</v>
      </c>
      <c r="L483" s="1" t="s">
        <v>41</v>
      </c>
      <c r="M483" s="1">
        <v>9.3000000000000007</v>
      </c>
      <c r="N483" s="1">
        <v>123.59</v>
      </c>
      <c r="O483" s="1">
        <v>75376000</v>
      </c>
      <c r="P483" t="s">
        <v>2282</v>
      </c>
    </row>
    <row r="484" spans="1:16" x14ac:dyDescent="0.3">
      <c r="A484" s="1" t="s">
        <v>1151</v>
      </c>
      <c r="B484" s="1" t="s">
        <v>14</v>
      </c>
      <c r="C484" s="1" t="s">
        <v>1152</v>
      </c>
      <c r="D484" s="1" t="s">
        <v>72</v>
      </c>
      <c r="E484" s="1" t="s">
        <v>364</v>
      </c>
      <c r="F484" s="1" t="s">
        <v>59</v>
      </c>
      <c r="G484" s="6">
        <v>43989</v>
      </c>
      <c r="H484" s="1">
        <v>2009</v>
      </c>
      <c r="I484" t="s">
        <v>19</v>
      </c>
      <c r="J484" s="1">
        <v>8</v>
      </c>
      <c r="K484" s="1" t="s">
        <v>20</v>
      </c>
      <c r="L484" s="1" t="s">
        <v>35</v>
      </c>
      <c r="M484" s="1">
        <v>3.7</v>
      </c>
      <c r="N484" s="1">
        <v>146.06</v>
      </c>
      <c r="O484" s="1">
        <v>51177000</v>
      </c>
      <c r="P484" t="s">
        <v>2281</v>
      </c>
    </row>
    <row r="485" spans="1:16" hidden="1" x14ac:dyDescent="0.3">
      <c r="A485" s="1" t="s">
        <v>1153</v>
      </c>
      <c r="B485" s="1" t="s">
        <v>37</v>
      </c>
      <c r="C485" s="1" t="s">
        <v>1154</v>
      </c>
      <c r="D485" s="1" t="s">
        <v>72</v>
      </c>
      <c r="E485" s="1" t="s">
        <v>123</v>
      </c>
      <c r="F485" s="1" t="s">
        <v>76</v>
      </c>
      <c r="G485" s="6">
        <v>43394</v>
      </c>
      <c r="H485" s="1">
        <v>2011</v>
      </c>
      <c r="I485" t="s">
        <v>19</v>
      </c>
      <c r="J485" s="1">
        <v>114</v>
      </c>
      <c r="K485" s="1" t="s">
        <v>28</v>
      </c>
      <c r="L485" s="1" t="s">
        <v>21</v>
      </c>
      <c r="M485" s="1">
        <v>2.2999999999999998</v>
      </c>
      <c r="N485" s="1">
        <v>52.26</v>
      </c>
      <c r="O485" s="1">
        <v>79670000</v>
      </c>
      <c r="P485" t="s">
        <v>2281</v>
      </c>
    </row>
    <row r="486" spans="1:16" x14ac:dyDescent="0.3">
      <c r="A486" s="1" t="s">
        <v>1155</v>
      </c>
      <c r="B486" s="1" t="s">
        <v>14</v>
      </c>
      <c r="C486" s="1" t="s">
        <v>1156</v>
      </c>
      <c r="D486" s="1" t="s">
        <v>39</v>
      </c>
      <c r="E486" s="1" t="s">
        <v>75</v>
      </c>
      <c r="F486" s="1" t="s">
        <v>76</v>
      </c>
      <c r="G486" s="6">
        <v>43516</v>
      </c>
      <c r="H486" s="1">
        <v>2002</v>
      </c>
      <c r="I486" t="s">
        <v>77</v>
      </c>
      <c r="J486" s="1">
        <v>7</v>
      </c>
      <c r="K486" s="1" t="s">
        <v>20</v>
      </c>
      <c r="L486" s="1" t="s">
        <v>35</v>
      </c>
      <c r="M486" s="1">
        <v>6</v>
      </c>
      <c r="N486" s="1">
        <v>116.69</v>
      </c>
      <c r="O486" s="1">
        <v>86599000</v>
      </c>
      <c r="P486" t="s">
        <v>2281</v>
      </c>
    </row>
    <row r="487" spans="1:16" x14ac:dyDescent="0.3">
      <c r="A487" s="1" t="s">
        <v>1157</v>
      </c>
      <c r="B487" s="1" t="s">
        <v>14</v>
      </c>
      <c r="C487" s="1" t="s">
        <v>1158</v>
      </c>
      <c r="D487" s="1" t="s">
        <v>49</v>
      </c>
      <c r="E487" s="1" t="s">
        <v>153</v>
      </c>
      <c r="F487" s="1" t="s">
        <v>51</v>
      </c>
      <c r="G487" s="6">
        <v>44580</v>
      </c>
      <c r="H487" s="1">
        <v>2007</v>
      </c>
      <c r="I487" t="s">
        <v>34</v>
      </c>
      <c r="J487" s="1">
        <v>3</v>
      </c>
      <c r="K487" s="1" t="s">
        <v>20</v>
      </c>
      <c r="L487" s="1" t="s">
        <v>21</v>
      </c>
      <c r="M487" s="1">
        <v>8.6999999999999993</v>
      </c>
      <c r="N487" s="1">
        <v>133.38</v>
      </c>
      <c r="O487" s="1">
        <v>46100000</v>
      </c>
      <c r="P487" t="s">
        <v>2282</v>
      </c>
    </row>
    <row r="488" spans="1:16" x14ac:dyDescent="0.3">
      <c r="A488" s="1" t="s">
        <v>1159</v>
      </c>
      <c r="B488" s="1" t="s">
        <v>14</v>
      </c>
      <c r="C488" s="1" t="s">
        <v>1160</v>
      </c>
      <c r="D488" s="1" t="s">
        <v>31</v>
      </c>
      <c r="E488" s="1" t="s">
        <v>111</v>
      </c>
      <c r="F488" s="1" t="s">
        <v>51</v>
      </c>
      <c r="G488" s="6">
        <v>42427</v>
      </c>
      <c r="H488" s="1">
        <v>1990</v>
      </c>
      <c r="I488" t="s">
        <v>89</v>
      </c>
      <c r="J488" s="1">
        <v>2</v>
      </c>
      <c r="K488" s="1" t="s">
        <v>20</v>
      </c>
      <c r="L488" s="1" t="s">
        <v>69</v>
      </c>
      <c r="M488" s="1">
        <v>8.4</v>
      </c>
      <c r="N488" s="1">
        <v>84.86</v>
      </c>
      <c r="O488" s="1">
        <v>29438000</v>
      </c>
      <c r="P488" t="s">
        <v>2281</v>
      </c>
    </row>
    <row r="489" spans="1:16" hidden="1" x14ac:dyDescent="0.3">
      <c r="A489" s="1" t="s">
        <v>1161</v>
      </c>
      <c r="B489" s="1" t="s">
        <v>37</v>
      </c>
      <c r="C489" s="1" t="s">
        <v>1162</v>
      </c>
      <c r="D489" s="1" t="s">
        <v>62</v>
      </c>
      <c r="E489" s="1" t="s">
        <v>1163</v>
      </c>
      <c r="F489" s="1" t="s">
        <v>18</v>
      </c>
      <c r="G489" s="6">
        <v>43715</v>
      </c>
      <c r="H489" s="1">
        <v>1990</v>
      </c>
      <c r="I489" t="s">
        <v>27</v>
      </c>
      <c r="J489" s="1">
        <v>92</v>
      </c>
      <c r="K489" s="1" t="s">
        <v>28</v>
      </c>
      <c r="L489" s="1" t="s">
        <v>46</v>
      </c>
      <c r="M489" s="1">
        <v>3.5</v>
      </c>
      <c r="N489" s="1">
        <v>30.87</v>
      </c>
      <c r="O489" s="1">
        <v>61684000</v>
      </c>
      <c r="P489" t="s">
        <v>2282</v>
      </c>
    </row>
    <row r="490" spans="1:16" x14ac:dyDescent="0.3">
      <c r="A490" s="1" t="s">
        <v>1164</v>
      </c>
      <c r="B490" s="1" t="s">
        <v>14</v>
      </c>
      <c r="C490" s="1" t="s">
        <v>1165</v>
      </c>
      <c r="D490" s="1" t="s">
        <v>49</v>
      </c>
      <c r="E490" s="1" t="s">
        <v>40</v>
      </c>
      <c r="F490" s="1" t="s">
        <v>26</v>
      </c>
      <c r="G490" s="6">
        <v>44279</v>
      </c>
      <c r="H490" s="1">
        <v>2022</v>
      </c>
      <c r="I490" t="s">
        <v>55</v>
      </c>
      <c r="J490" s="1">
        <v>5</v>
      </c>
      <c r="K490" s="1" t="s">
        <v>20</v>
      </c>
      <c r="L490" s="1" t="s">
        <v>35</v>
      </c>
      <c r="M490" s="1">
        <v>3.7</v>
      </c>
      <c r="N490" s="1">
        <v>47.73</v>
      </c>
      <c r="O490" s="1">
        <v>17176000</v>
      </c>
      <c r="P490" t="s">
        <v>2281</v>
      </c>
    </row>
    <row r="491" spans="1:16" hidden="1" x14ac:dyDescent="0.3">
      <c r="A491" s="1" t="s">
        <v>1166</v>
      </c>
      <c r="B491" s="1" t="s">
        <v>37</v>
      </c>
      <c r="C491" s="1" t="s">
        <v>1167</v>
      </c>
      <c r="D491" s="1" t="s">
        <v>31</v>
      </c>
      <c r="E491" s="1" t="s">
        <v>1168</v>
      </c>
      <c r="F491" s="1" t="s">
        <v>18</v>
      </c>
      <c r="G491" s="6">
        <v>43030</v>
      </c>
      <c r="H491" s="1">
        <v>1999</v>
      </c>
      <c r="I491" t="s">
        <v>34</v>
      </c>
      <c r="J491" s="1">
        <v>68</v>
      </c>
      <c r="K491" s="1" t="s">
        <v>28</v>
      </c>
      <c r="L491" s="1" t="s">
        <v>35</v>
      </c>
      <c r="M491" s="1">
        <v>1</v>
      </c>
      <c r="N491" s="1">
        <v>56.65</v>
      </c>
      <c r="O491" s="1">
        <v>60230000</v>
      </c>
      <c r="P491" t="s">
        <v>2281</v>
      </c>
    </row>
    <row r="492" spans="1:16" hidden="1" x14ac:dyDescent="0.3">
      <c r="A492" s="1" t="s">
        <v>1169</v>
      </c>
      <c r="B492" s="1" t="s">
        <v>37</v>
      </c>
      <c r="C492" s="1" t="s">
        <v>1170</v>
      </c>
      <c r="D492" s="1" t="s">
        <v>16</v>
      </c>
      <c r="E492" s="1" t="s">
        <v>50</v>
      </c>
      <c r="F492" s="1" t="s">
        <v>158</v>
      </c>
      <c r="G492" s="6">
        <v>42765</v>
      </c>
      <c r="H492" s="1">
        <v>2007</v>
      </c>
      <c r="I492" t="s">
        <v>89</v>
      </c>
      <c r="J492" s="1">
        <v>163</v>
      </c>
      <c r="K492" s="1" t="s">
        <v>28</v>
      </c>
      <c r="L492" s="1" t="s">
        <v>21</v>
      </c>
      <c r="M492" s="1">
        <v>7.2</v>
      </c>
      <c r="N492" s="1">
        <v>51.15</v>
      </c>
      <c r="O492" s="1">
        <v>6592000</v>
      </c>
      <c r="P492" t="s">
        <v>2281</v>
      </c>
    </row>
    <row r="493" spans="1:16" hidden="1" x14ac:dyDescent="0.3">
      <c r="A493" s="1" t="s">
        <v>1171</v>
      </c>
      <c r="B493" s="1" t="s">
        <v>37</v>
      </c>
      <c r="C493" s="1" t="s">
        <v>1172</v>
      </c>
      <c r="D493" s="1" t="s">
        <v>49</v>
      </c>
      <c r="E493" s="1" t="s">
        <v>111</v>
      </c>
      <c r="F493" s="1" t="s">
        <v>76</v>
      </c>
      <c r="G493" s="6">
        <v>43538</v>
      </c>
      <c r="H493" s="1">
        <v>2022</v>
      </c>
      <c r="I493" t="s">
        <v>27</v>
      </c>
      <c r="J493" s="1">
        <v>93</v>
      </c>
      <c r="K493" s="1" t="s">
        <v>28</v>
      </c>
      <c r="L493" s="1" t="s">
        <v>35</v>
      </c>
      <c r="M493" s="1">
        <v>1.7</v>
      </c>
      <c r="N493" s="1">
        <v>88.1</v>
      </c>
      <c r="O493" s="1">
        <v>20511000</v>
      </c>
      <c r="P493" t="s">
        <v>2282</v>
      </c>
    </row>
    <row r="494" spans="1:16" hidden="1" x14ac:dyDescent="0.3">
      <c r="A494" s="1" t="s">
        <v>1173</v>
      </c>
      <c r="B494" s="1" t="s">
        <v>37</v>
      </c>
      <c r="C494" s="1" t="s">
        <v>1174</v>
      </c>
      <c r="D494" s="1" t="s">
        <v>31</v>
      </c>
      <c r="E494" s="1" t="s">
        <v>1175</v>
      </c>
      <c r="F494" s="1" t="s">
        <v>76</v>
      </c>
      <c r="G494" s="6">
        <v>42287</v>
      </c>
      <c r="H494" s="1">
        <v>1998</v>
      </c>
      <c r="I494" t="s">
        <v>55</v>
      </c>
      <c r="J494" s="1">
        <v>176</v>
      </c>
      <c r="K494" s="1" t="s">
        <v>28</v>
      </c>
      <c r="L494" s="1" t="s">
        <v>52</v>
      </c>
      <c r="M494" s="1">
        <v>5.5</v>
      </c>
      <c r="N494" s="1">
        <v>102.46</v>
      </c>
      <c r="O494" s="1">
        <v>34393000</v>
      </c>
      <c r="P494" t="s">
        <v>2281</v>
      </c>
    </row>
    <row r="495" spans="1:16" hidden="1" x14ac:dyDescent="0.3">
      <c r="A495" s="1" t="s">
        <v>1176</v>
      </c>
      <c r="B495" s="1" t="s">
        <v>37</v>
      </c>
      <c r="C495" s="1" t="s">
        <v>1177</v>
      </c>
      <c r="D495" s="1" t="s">
        <v>31</v>
      </c>
      <c r="E495" s="1" t="s">
        <v>40</v>
      </c>
      <c r="F495" s="1" t="s">
        <v>18</v>
      </c>
      <c r="G495" s="6">
        <v>43994</v>
      </c>
      <c r="H495" s="1">
        <v>2014</v>
      </c>
      <c r="I495" t="s">
        <v>55</v>
      </c>
      <c r="J495" s="1">
        <v>118</v>
      </c>
      <c r="K495" s="1" t="s">
        <v>28</v>
      </c>
      <c r="L495" s="1" t="s">
        <v>21</v>
      </c>
      <c r="M495" s="1">
        <v>7.9</v>
      </c>
      <c r="N495" s="1">
        <v>39.85</v>
      </c>
      <c r="O495" s="1">
        <v>88253000</v>
      </c>
      <c r="P495" t="s">
        <v>2281</v>
      </c>
    </row>
    <row r="496" spans="1:16" hidden="1" x14ac:dyDescent="0.3">
      <c r="A496" s="1" t="s">
        <v>1178</v>
      </c>
      <c r="B496" s="1" t="s">
        <v>37</v>
      </c>
      <c r="C496" s="1" t="s">
        <v>1179</v>
      </c>
      <c r="D496" s="1" t="s">
        <v>62</v>
      </c>
      <c r="E496" s="1" t="s">
        <v>1180</v>
      </c>
      <c r="F496" s="1" t="s">
        <v>26</v>
      </c>
      <c r="G496" s="6">
        <v>42953</v>
      </c>
      <c r="H496" s="1">
        <v>2002</v>
      </c>
      <c r="I496" t="s">
        <v>34</v>
      </c>
      <c r="J496" s="1">
        <v>146</v>
      </c>
      <c r="K496" s="1" t="s">
        <v>28</v>
      </c>
      <c r="L496" s="1" t="s">
        <v>35</v>
      </c>
      <c r="M496" s="1">
        <v>3.4</v>
      </c>
      <c r="N496" s="1">
        <v>128.11000000000001</v>
      </c>
      <c r="O496" s="1">
        <v>85792000</v>
      </c>
      <c r="P496" t="s">
        <v>2281</v>
      </c>
    </row>
    <row r="497" spans="1:16" hidden="1" x14ac:dyDescent="0.3">
      <c r="A497" s="1" t="s">
        <v>1181</v>
      </c>
      <c r="B497" s="1" t="s">
        <v>37</v>
      </c>
      <c r="C497" s="1" t="s">
        <v>1182</v>
      </c>
      <c r="D497" s="1" t="s">
        <v>31</v>
      </c>
      <c r="E497" s="1" t="s">
        <v>17</v>
      </c>
      <c r="F497" s="1" t="s">
        <v>59</v>
      </c>
      <c r="G497" s="6">
        <v>43881</v>
      </c>
      <c r="H497" s="1">
        <v>2009</v>
      </c>
      <c r="I497" t="s">
        <v>77</v>
      </c>
      <c r="J497" s="1">
        <v>141</v>
      </c>
      <c r="K497" s="1" t="s">
        <v>28</v>
      </c>
      <c r="L497" s="1" t="s">
        <v>35</v>
      </c>
      <c r="M497" s="1">
        <v>2.7</v>
      </c>
      <c r="N497" s="1">
        <v>138.54</v>
      </c>
      <c r="O497" s="1">
        <v>32622000</v>
      </c>
      <c r="P497" t="s">
        <v>2282</v>
      </c>
    </row>
    <row r="498" spans="1:16" x14ac:dyDescent="0.3">
      <c r="A498" s="1" t="s">
        <v>1183</v>
      </c>
      <c r="B498" s="1" t="s">
        <v>14</v>
      </c>
      <c r="C498" s="1" t="s">
        <v>1184</v>
      </c>
      <c r="D498" s="1" t="s">
        <v>31</v>
      </c>
      <c r="E498" s="1" t="s">
        <v>1185</v>
      </c>
      <c r="F498" s="1" t="s">
        <v>33</v>
      </c>
      <c r="G498" s="6">
        <v>42149</v>
      </c>
      <c r="H498" s="1">
        <v>1991</v>
      </c>
      <c r="I498" t="s">
        <v>55</v>
      </c>
      <c r="J498" s="1">
        <v>7</v>
      </c>
      <c r="K498" s="1" t="s">
        <v>20</v>
      </c>
      <c r="L498" s="1" t="s">
        <v>46</v>
      </c>
      <c r="M498" s="1">
        <v>9.5</v>
      </c>
      <c r="N498" s="1">
        <v>48.4</v>
      </c>
      <c r="O498" s="1">
        <v>82539000</v>
      </c>
      <c r="P498" t="s">
        <v>2281</v>
      </c>
    </row>
    <row r="499" spans="1:16" hidden="1" x14ac:dyDescent="0.3">
      <c r="A499" s="1" t="s">
        <v>1186</v>
      </c>
      <c r="B499" s="1" t="s">
        <v>37</v>
      </c>
      <c r="C499" s="1" t="s">
        <v>1187</v>
      </c>
      <c r="D499" s="1" t="s">
        <v>16</v>
      </c>
      <c r="E499" s="1" t="s">
        <v>1188</v>
      </c>
      <c r="F499" s="1" t="s">
        <v>59</v>
      </c>
      <c r="G499" s="6">
        <v>44509</v>
      </c>
      <c r="H499" s="1">
        <v>1999</v>
      </c>
      <c r="I499" t="s">
        <v>27</v>
      </c>
      <c r="J499" s="1">
        <v>96</v>
      </c>
      <c r="K499" s="1" t="s">
        <v>28</v>
      </c>
      <c r="L499" s="1" t="s">
        <v>35</v>
      </c>
      <c r="M499" s="1">
        <v>2.2000000000000002</v>
      </c>
      <c r="N499" s="1">
        <v>117</v>
      </c>
      <c r="O499" s="1">
        <v>10236000</v>
      </c>
      <c r="P499" t="s">
        <v>2281</v>
      </c>
    </row>
    <row r="500" spans="1:16" hidden="1" x14ac:dyDescent="0.3">
      <c r="A500" s="1" t="s">
        <v>1189</v>
      </c>
      <c r="B500" s="1" t="s">
        <v>37</v>
      </c>
      <c r="C500" s="1" t="s">
        <v>1190</v>
      </c>
      <c r="D500" s="1" t="s">
        <v>39</v>
      </c>
      <c r="E500" s="1" t="s">
        <v>72</v>
      </c>
      <c r="F500" s="1" t="s">
        <v>158</v>
      </c>
      <c r="G500" s="6">
        <v>45079</v>
      </c>
      <c r="H500" s="1">
        <v>2011</v>
      </c>
      <c r="I500" t="s">
        <v>77</v>
      </c>
      <c r="J500" s="1">
        <v>164</v>
      </c>
      <c r="K500" s="1" t="s">
        <v>28</v>
      </c>
      <c r="L500" s="1" t="s">
        <v>52</v>
      </c>
      <c r="M500" s="1">
        <v>3</v>
      </c>
      <c r="N500" s="1">
        <v>92.88</v>
      </c>
      <c r="O500" s="1">
        <v>23575000</v>
      </c>
      <c r="P500" t="s">
        <v>2281</v>
      </c>
    </row>
    <row r="501" spans="1:16" hidden="1" x14ac:dyDescent="0.3">
      <c r="A501" s="1" t="s">
        <v>1191</v>
      </c>
      <c r="B501" s="1" t="s">
        <v>37</v>
      </c>
      <c r="C501" s="1" t="s">
        <v>1192</v>
      </c>
      <c r="D501" s="1" t="s">
        <v>16</v>
      </c>
      <c r="E501" s="1" t="s">
        <v>1193</v>
      </c>
      <c r="F501" s="1" t="s">
        <v>76</v>
      </c>
      <c r="G501" s="6">
        <v>44425</v>
      </c>
      <c r="H501" s="1">
        <v>1991</v>
      </c>
      <c r="I501" t="s">
        <v>77</v>
      </c>
      <c r="J501" s="1">
        <v>112</v>
      </c>
      <c r="K501" s="1" t="s">
        <v>28</v>
      </c>
      <c r="L501" s="1" t="s">
        <v>35</v>
      </c>
      <c r="M501" s="1">
        <v>1.6</v>
      </c>
      <c r="N501" s="1">
        <v>112.77</v>
      </c>
      <c r="O501" s="1">
        <v>6632000</v>
      </c>
      <c r="P501" t="s">
        <v>2282</v>
      </c>
    </row>
    <row r="502" spans="1:16" hidden="1" x14ac:dyDescent="0.3">
      <c r="A502" s="1" t="s">
        <v>1194</v>
      </c>
      <c r="B502" s="1" t="s">
        <v>37</v>
      </c>
      <c r="C502" s="1" t="s">
        <v>1195</v>
      </c>
      <c r="D502" s="1" t="s">
        <v>49</v>
      </c>
      <c r="E502" s="1" t="s">
        <v>377</v>
      </c>
      <c r="F502" s="1" t="s">
        <v>26</v>
      </c>
      <c r="G502" s="6">
        <v>44611</v>
      </c>
      <c r="H502" s="1">
        <v>1990</v>
      </c>
      <c r="I502" t="s">
        <v>89</v>
      </c>
      <c r="J502" s="1">
        <v>77</v>
      </c>
      <c r="K502" s="1" t="s">
        <v>28</v>
      </c>
      <c r="L502" s="1" t="s">
        <v>46</v>
      </c>
      <c r="M502" s="1">
        <v>8.3000000000000007</v>
      </c>
      <c r="N502" s="1">
        <v>136</v>
      </c>
      <c r="O502" s="1">
        <v>42408000</v>
      </c>
      <c r="P502" t="s">
        <v>2281</v>
      </c>
    </row>
    <row r="503" spans="1:16" hidden="1" x14ac:dyDescent="0.3">
      <c r="A503" s="1" t="s">
        <v>1196</v>
      </c>
      <c r="B503" s="1" t="s">
        <v>37</v>
      </c>
      <c r="C503" s="1" t="s">
        <v>1197</v>
      </c>
      <c r="D503" s="1" t="s">
        <v>49</v>
      </c>
      <c r="E503" s="1" t="s">
        <v>509</v>
      </c>
      <c r="F503" s="1" t="s">
        <v>33</v>
      </c>
      <c r="G503" s="6">
        <v>43053</v>
      </c>
      <c r="H503" s="1">
        <v>2013</v>
      </c>
      <c r="I503" t="s">
        <v>27</v>
      </c>
      <c r="J503" s="1">
        <v>126</v>
      </c>
      <c r="K503" s="1" t="s">
        <v>28</v>
      </c>
      <c r="L503" s="1" t="s">
        <v>41</v>
      </c>
      <c r="M503" s="1">
        <v>3.9</v>
      </c>
      <c r="N503" s="1">
        <v>49.91</v>
      </c>
      <c r="O503" s="1">
        <v>25260000</v>
      </c>
      <c r="P503" t="s">
        <v>2281</v>
      </c>
    </row>
    <row r="504" spans="1:16" hidden="1" x14ac:dyDescent="0.3">
      <c r="A504" s="1" t="s">
        <v>1198</v>
      </c>
      <c r="B504" s="1" t="s">
        <v>37</v>
      </c>
      <c r="C504" s="1" t="s">
        <v>1199</v>
      </c>
      <c r="D504" s="1" t="s">
        <v>62</v>
      </c>
      <c r="E504" s="1" t="s">
        <v>123</v>
      </c>
      <c r="F504" s="1" t="s">
        <v>59</v>
      </c>
      <c r="G504" s="6">
        <v>44109</v>
      </c>
      <c r="H504" s="1">
        <v>2012</v>
      </c>
      <c r="I504" t="s">
        <v>77</v>
      </c>
      <c r="J504" s="1">
        <v>125</v>
      </c>
      <c r="K504" s="1" t="s">
        <v>28</v>
      </c>
      <c r="L504" s="1" t="s">
        <v>69</v>
      </c>
      <c r="M504" s="1">
        <v>7.7</v>
      </c>
      <c r="N504" s="1">
        <v>134.34</v>
      </c>
      <c r="O504" s="1">
        <v>75636000</v>
      </c>
      <c r="P504" t="s">
        <v>2281</v>
      </c>
    </row>
    <row r="505" spans="1:16" hidden="1" x14ac:dyDescent="0.3">
      <c r="A505" s="1" t="s">
        <v>1200</v>
      </c>
      <c r="B505" s="1" t="s">
        <v>37</v>
      </c>
      <c r="C505" s="1" t="s">
        <v>1201</v>
      </c>
      <c r="D505" s="1" t="s">
        <v>39</v>
      </c>
      <c r="E505" s="1" t="s">
        <v>75</v>
      </c>
      <c r="F505" s="1" t="s">
        <v>76</v>
      </c>
      <c r="G505" s="6">
        <v>43294</v>
      </c>
      <c r="H505" s="1">
        <v>1991</v>
      </c>
      <c r="I505" t="s">
        <v>77</v>
      </c>
      <c r="J505" s="1">
        <v>179</v>
      </c>
      <c r="K505" s="1" t="s">
        <v>28</v>
      </c>
      <c r="L505" s="1" t="s">
        <v>21</v>
      </c>
      <c r="M505" s="1">
        <v>6.3</v>
      </c>
      <c r="N505" s="1">
        <v>121.71</v>
      </c>
      <c r="O505" s="1">
        <v>93716000</v>
      </c>
      <c r="P505" t="s">
        <v>2282</v>
      </c>
    </row>
    <row r="506" spans="1:16" hidden="1" x14ac:dyDescent="0.3">
      <c r="A506" s="1" t="s">
        <v>1202</v>
      </c>
      <c r="B506" s="1" t="s">
        <v>37</v>
      </c>
      <c r="C506" s="1" t="s">
        <v>1203</v>
      </c>
      <c r="D506" s="1" t="s">
        <v>39</v>
      </c>
      <c r="E506" s="1" t="s">
        <v>72</v>
      </c>
      <c r="F506" s="1" t="s">
        <v>51</v>
      </c>
      <c r="G506" s="6">
        <v>44296</v>
      </c>
      <c r="H506" s="1">
        <v>1997</v>
      </c>
      <c r="I506" t="s">
        <v>77</v>
      </c>
      <c r="J506" s="1">
        <v>94</v>
      </c>
      <c r="K506" s="1" t="s">
        <v>28</v>
      </c>
      <c r="L506" s="1" t="s">
        <v>41</v>
      </c>
      <c r="M506" s="1">
        <v>7.9</v>
      </c>
      <c r="N506" s="1">
        <v>117.73</v>
      </c>
      <c r="O506" s="1">
        <v>13255000</v>
      </c>
      <c r="P506" t="s">
        <v>2281</v>
      </c>
    </row>
    <row r="507" spans="1:16" hidden="1" x14ac:dyDescent="0.3">
      <c r="A507" s="1" t="s">
        <v>1204</v>
      </c>
      <c r="B507" s="1" t="s">
        <v>37</v>
      </c>
      <c r="C507" s="1" t="s">
        <v>1205</v>
      </c>
      <c r="D507" s="1" t="s">
        <v>31</v>
      </c>
      <c r="E507" s="1" t="s">
        <v>187</v>
      </c>
      <c r="F507" s="1" t="s">
        <v>59</v>
      </c>
      <c r="G507" s="6">
        <v>45269</v>
      </c>
      <c r="H507" s="1">
        <v>2007</v>
      </c>
      <c r="I507" t="s">
        <v>77</v>
      </c>
      <c r="J507" s="1">
        <v>125</v>
      </c>
      <c r="K507" s="1" t="s">
        <v>28</v>
      </c>
      <c r="L507" s="1" t="s">
        <v>52</v>
      </c>
      <c r="M507" s="1">
        <v>5.2</v>
      </c>
      <c r="N507" s="1">
        <v>20.47</v>
      </c>
      <c r="O507" s="1">
        <v>100208000</v>
      </c>
      <c r="P507" t="s">
        <v>2281</v>
      </c>
    </row>
    <row r="508" spans="1:16" hidden="1" x14ac:dyDescent="0.3">
      <c r="A508" s="1" t="s">
        <v>1206</v>
      </c>
      <c r="B508" s="1" t="s">
        <v>37</v>
      </c>
      <c r="C508" s="1" t="s">
        <v>1207</v>
      </c>
      <c r="D508" s="1" t="s">
        <v>24</v>
      </c>
      <c r="E508" s="1" t="s">
        <v>123</v>
      </c>
      <c r="F508" s="1" t="s">
        <v>158</v>
      </c>
      <c r="G508" s="6">
        <v>44967</v>
      </c>
      <c r="H508" s="1">
        <v>2022</v>
      </c>
      <c r="I508" t="s">
        <v>89</v>
      </c>
      <c r="J508" s="1">
        <v>74</v>
      </c>
      <c r="K508" s="1" t="s">
        <v>28</v>
      </c>
      <c r="L508" s="1" t="s">
        <v>46</v>
      </c>
      <c r="M508" s="1">
        <v>4.7</v>
      </c>
      <c r="N508" s="1">
        <v>133.22999999999999</v>
      </c>
      <c r="O508" s="1">
        <v>14198000</v>
      </c>
      <c r="P508" t="s">
        <v>2282</v>
      </c>
    </row>
    <row r="509" spans="1:16" x14ac:dyDescent="0.3">
      <c r="A509" s="1" t="s">
        <v>1208</v>
      </c>
      <c r="B509" s="1" t="s">
        <v>14</v>
      </c>
      <c r="C509" s="1" t="s">
        <v>1209</v>
      </c>
      <c r="D509" s="1" t="s">
        <v>72</v>
      </c>
      <c r="E509" s="1" t="s">
        <v>32</v>
      </c>
      <c r="F509" s="1" t="s">
        <v>26</v>
      </c>
      <c r="G509" s="6">
        <v>44073</v>
      </c>
      <c r="H509" s="1">
        <v>2001</v>
      </c>
      <c r="I509" t="s">
        <v>89</v>
      </c>
      <c r="J509" s="1">
        <v>1</v>
      </c>
      <c r="K509" s="1" t="s">
        <v>20</v>
      </c>
      <c r="L509" s="1" t="s">
        <v>35</v>
      </c>
      <c r="M509" s="1">
        <v>4.2</v>
      </c>
      <c r="N509" s="1">
        <v>32.17</v>
      </c>
      <c r="O509" s="1">
        <v>60568000</v>
      </c>
      <c r="P509" t="s">
        <v>2281</v>
      </c>
    </row>
    <row r="510" spans="1:16" hidden="1" x14ac:dyDescent="0.3">
      <c r="A510" s="1" t="s">
        <v>1210</v>
      </c>
      <c r="B510" s="1" t="s">
        <v>37</v>
      </c>
      <c r="C510" s="1" t="s">
        <v>1211</v>
      </c>
      <c r="D510" s="1" t="s">
        <v>39</v>
      </c>
      <c r="E510" s="1" t="s">
        <v>794</v>
      </c>
      <c r="F510" s="1" t="s">
        <v>51</v>
      </c>
      <c r="G510" s="6">
        <v>44358</v>
      </c>
      <c r="H510" s="1">
        <v>2010</v>
      </c>
      <c r="I510" t="s">
        <v>55</v>
      </c>
      <c r="J510" s="1">
        <v>180</v>
      </c>
      <c r="K510" s="1" t="s">
        <v>28</v>
      </c>
      <c r="L510" s="1" t="s">
        <v>21</v>
      </c>
      <c r="M510" s="1">
        <v>1.8</v>
      </c>
      <c r="N510" s="1">
        <v>142.19999999999999</v>
      </c>
      <c r="O510" s="1">
        <v>74434000</v>
      </c>
      <c r="P510" t="s">
        <v>2282</v>
      </c>
    </row>
    <row r="511" spans="1:16" hidden="1" x14ac:dyDescent="0.3">
      <c r="A511" s="1" t="s">
        <v>1212</v>
      </c>
      <c r="B511" s="1" t="s">
        <v>37</v>
      </c>
      <c r="C511" s="1" t="s">
        <v>1213</v>
      </c>
      <c r="D511" s="1" t="s">
        <v>39</v>
      </c>
      <c r="E511" s="1" t="s">
        <v>227</v>
      </c>
      <c r="F511" s="1" t="s">
        <v>18</v>
      </c>
      <c r="G511" s="6">
        <v>44639</v>
      </c>
      <c r="H511" s="1">
        <v>2003</v>
      </c>
      <c r="I511" t="s">
        <v>89</v>
      </c>
      <c r="J511" s="1">
        <v>128</v>
      </c>
      <c r="K511" s="1" t="s">
        <v>28</v>
      </c>
      <c r="L511" s="1" t="s">
        <v>21</v>
      </c>
      <c r="M511" s="1">
        <v>3.2</v>
      </c>
      <c r="N511" s="1">
        <v>92.97</v>
      </c>
      <c r="O511" s="1">
        <v>92373000</v>
      </c>
      <c r="P511" t="s">
        <v>2281</v>
      </c>
    </row>
    <row r="512" spans="1:16" x14ac:dyDescent="0.3">
      <c r="A512" s="1" t="s">
        <v>1214</v>
      </c>
      <c r="B512" s="1" t="s">
        <v>14</v>
      </c>
      <c r="C512" s="1" t="s">
        <v>1215</v>
      </c>
      <c r="D512" s="1" t="s">
        <v>24</v>
      </c>
      <c r="E512" s="1" t="s">
        <v>17</v>
      </c>
      <c r="F512" s="1" t="s">
        <v>59</v>
      </c>
      <c r="G512" s="6">
        <v>44232</v>
      </c>
      <c r="H512" s="1">
        <v>2000</v>
      </c>
      <c r="I512" t="s">
        <v>55</v>
      </c>
      <c r="J512" s="1">
        <v>8</v>
      </c>
      <c r="K512" s="1" t="s">
        <v>20</v>
      </c>
      <c r="L512" s="1" t="s">
        <v>52</v>
      </c>
      <c r="M512" s="1">
        <v>4.3</v>
      </c>
      <c r="N512" s="1">
        <v>36.54</v>
      </c>
      <c r="O512" s="1">
        <v>29684000</v>
      </c>
      <c r="P512" t="s">
        <v>2282</v>
      </c>
    </row>
    <row r="513" spans="1:16" hidden="1" x14ac:dyDescent="0.3">
      <c r="A513" s="1" t="s">
        <v>1216</v>
      </c>
      <c r="B513" s="1" t="s">
        <v>37</v>
      </c>
      <c r="C513" s="1" t="s">
        <v>1217</v>
      </c>
      <c r="D513" s="1" t="s">
        <v>31</v>
      </c>
      <c r="E513" s="1" t="s">
        <v>63</v>
      </c>
      <c r="F513" s="1" t="s">
        <v>45</v>
      </c>
      <c r="G513" s="6">
        <v>45281</v>
      </c>
      <c r="H513" s="1">
        <v>2020</v>
      </c>
      <c r="I513" t="s">
        <v>34</v>
      </c>
      <c r="J513" s="1">
        <v>164</v>
      </c>
      <c r="K513" s="1" t="s">
        <v>28</v>
      </c>
      <c r="L513" s="1" t="s">
        <v>69</v>
      </c>
      <c r="M513" s="1">
        <v>4.3</v>
      </c>
      <c r="N513" s="1">
        <v>75.72</v>
      </c>
      <c r="O513" s="1">
        <v>87758000</v>
      </c>
      <c r="P513" t="s">
        <v>2281</v>
      </c>
    </row>
    <row r="514" spans="1:16" x14ac:dyDescent="0.3">
      <c r="A514" s="1" t="s">
        <v>1218</v>
      </c>
      <c r="B514" s="1" t="s">
        <v>14</v>
      </c>
      <c r="C514" s="1" t="s">
        <v>1219</v>
      </c>
      <c r="D514" s="1" t="s">
        <v>24</v>
      </c>
      <c r="E514" s="1" t="s">
        <v>840</v>
      </c>
      <c r="F514" s="1" t="s">
        <v>51</v>
      </c>
      <c r="G514" s="6">
        <v>44205</v>
      </c>
      <c r="H514" s="1">
        <v>2003</v>
      </c>
      <c r="I514" t="s">
        <v>34</v>
      </c>
      <c r="J514" s="1">
        <v>3</v>
      </c>
      <c r="K514" s="1" t="s">
        <v>20</v>
      </c>
      <c r="L514" s="1" t="s">
        <v>52</v>
      </c>
      <c r="M514" s="1">
        <v>8.1</v>
      </c>
      <c r="N514" s="1">
        <v>9.3699999999999992</v>
      </c>
      <c r="O514" s="1">
        <v>10485000</v>
      </c>
      <c r="P514" t="s">
        <v>2281</v>
      </c>
    </row>
    <row r="515" spans="1:16" hidden="1" x14ac:dyDescent="0.3">
      <c r="A515" s="1" t="s">
        <v>1220</v>
      </c>
      <c r="B515" s="1" t="s">
        <v>37</v>
      </c>
      <c r="C515" s="1" t="s">
        <v>1221</v>
      </c>
      <c r="D515" s="1" t="s">
        <v>16</v>
      </c>
      <c r="E515" s="1" t="s">
        <v>63</v>
      </c>
      <c r="F515" s="1" t="s">
        <v>158</v>
      </c>
      <c r="G515" s="6">
        <v>44301</v>
      </c>
      <c r="H515" s="1">
        <v>1998</v>
      </c>
      <c r="I515" t="s">
        <v>34</v>
      </c>
      <c r="J515" s="1">
        <v>135</v>
      </c>
      <c r="K515" s="1" t="s">
        <v>28</v>
      </c>
      <c r="L515" s="1" t="s">
        <v>52</v>
      </c>
      <c r="M515" s="1">
        <v>9</v>
      </c>
      <c r="N515" s="1">
        <v>84.63</v>
      </c>
      <c r="O515" s="1">
        <v>82933000</v>
      </c>
      <c r="P515" t="s">
        <v>2282</v>
      </c>
    </row>
    <row r="516" spans="1:16" x14ac:dyDescent="0.3">
      <c r="A516" s="1" t="s">
        <v>1222</v>
      </c>
      <c r="B516" s="1" t="s">
        <v>14</v>
      </c>
      <c r="C516" s="1" t="s">
        <v>1223</v>
      </c>
      <c r="D516" s="1" t="s">
        <v>62</v>
      </c>
      <c r="E516" s="1" t="s">
        <v>17</v>
      </c>
      <c r="F516" s="1" t="s">
        <v>33</v>
      </c>
      <c r="G516" s="6">
        <v>43249</v>
      </c>
      <c r="H516" s="1">
        <v>2002</v>
      </c>
      <c r="I516" t="s">
        <v>27</v>
      </c>
      <c r="J516" s="1">
        <v>6</v>
      </c>
      <c r="K516" s="1" t="s">
        <v>20</v>
      </c>
      <c r="L516" s="1" t="s">
        <v>35</v>
      </c>
      <c r="M516" s="1">
        <v>8.4</v>
      </c>
      <c r="N516" s="1">
        <v>101.6</v>
      </c>
      <c r="O516" s="1">
        <v>94650000</v>
      </c>
      <c r="P516" t="s">
        <v>2282</v>
      </c>
    </row>
    <row r="517" spans="1:16" x14ac:dyDescent="0.3">
      <c r="A517" s="1" t="s">
        <v>1224</v>
      </c>
      <c r="B517" s="1" t="s">
        <v>14</v>
      </c>
      <c r="C517" s="1" t="s">
        <v>1225</v>
      </c>
      <c r="D517" s="1" t="s">
        <v>49</v>
      </c>
      <c r="E517" s="1" t="s">
        <v>75</v>
      </c>
      <c r="F517" s="1" t="s">
        <v>76</v>
      </c>
      <c r="G517" s="6">
        <v>42120</v>
      </c>
      <c r="H517" s="1">
        <v>2010</v>
      </c>
      <c r="I517" t="s">
        <v>55</v>
      </c>
      <c r="J517" s="1">
        <v>5</v>
      </c>
      <c r="K517" s="1" t="s">
        <v>20</v>
      </c>
      <c r="L517" s="1" t="s">
        <v>46</v>
      </c>
      <c r="M517" s="1">
        <v>2.7</v>
      </c>
      <c r="N517" s="1">
        <v>125.24</v>
      </c>
      <c r="O517" s="1">
        <v>52600000</v>
      </c>
      <c r="P517" t="s">
        <v>2281</v>
      </c>
    </row>
    <row r="518" spans="1:16" hidden="1" x14ac:dyDescent="0.3">
      <c r="A518" s="1" t="s">
        <v>1226</v>
      </c>
      <c r="B518" s="1" t="s">
        <v>37</v>
      </c>
      <c r="C518" s="1" t="s">
        <v>1227</v>
      </c>
      <c r="D518" s="1" t="s">
        <v>72</v>
      </c>
      <c r="E518" s="1" t="s">
        <v>50</v>
      </c>
      <c r="F518" s="1" t="s">
        <v>76</v>
      </c>
      <c r="G518" s="6">
        <v>42353</v>
      </c>
      <c r="H518" s="1">
        <v>2006</v>
      </c>
      <c r="I518" t="s">
        <v>34</v>
      </c>
      <c r="J518" s="1">
        <v>96</v>
      </c>
      <c r="K518" s="1" t="s">
        <v>28</v>
      </c>
      <c r="L518" s="1" t="s">
        <v>21</v>
      </c>
      <c r="M518" s="1">
        <v>6.1</v>
      </c>
      <c r="N518" s="1">
        <v>94.98</v>
      </c>
      <c r="O518" s="1">
        <v>47879000</v>
      </c>
      <c r="P518" t="s">
        <v>2281</v>
      </c>
    </row>
    <row r="519" spans="1:16" x14ac:dyDescent="0.3">
      <c r="A519" s="1" t="s">
        <v>1228</v>
      </c>
      <c r="B519" s="1" t="s">
        <v>14</v>
      </c>
      <c r="C519" s="1" t="s">
        <v>1229</v>
      </c>
      <c r="D519" s="1" t="s">
        <v>62</v>
      </c>
      <c r="E519" s="1" t="s">
        <v>722</v>
      </c>
      <c r="F519" s="1" t="s">
        <v>59</v>
      </c>
      <c r="G519" s="6">
        <v>42513</v>
      </c>
      <c r="H519" s="1">
        <v>2020</v>
      </c>
      <c r="I519" t="s">
        <v>19</v>
      </c>
      <c r="J519" s="1">
        <v>9</v>
      </c>
      <c r="K519" s="1" t="s">
        <v>20</v>
      </c>
      <c r="L519" s="1" t="s">
        <v>52</v>
      </c>
      <c r="M519" s="1">
        <v>5.5</v>
      </c>
      <c r="N519" s="1">
        <v>142.51</v>
      </c>
      <c r="O519" s="1">
        <v>20348000</v>
      </c>
      <c r="P519" t="s">
        <v>2281</v>
      </c>
    </row>
    <row r="520" spans="1:16" hidden="1" x14ac:dyDescent="0.3">
      <c r="A520" s="1" t="s">
        <v>1230</v>
      </c>
      <c r="B520" s="1" t="s">
        <v>37</v>
      </c>
      <c r="C520" s="1" t="s">
        <v>1231</v>
      </c>
      <c r="D520" s="1" t="s">
        <v>49</v>
      </c>
      <c r="E520" s="1" t="s">
        <v>794</v>
      </c>
      <c r="F520" s="1" t="s">
        <v>59</v>
      </c>
      <c r="G520" s="6">
        <v>42906</v>
      </c>
      <c r="H520" s="1">
        <v>2022</v>
      </c>
      <c r="I520" t="s">
        <v>27</v>
      </c>
      <c r="J520" s="1">
        <v>172</v>
      </c>
      <c r="K520" s="1" t="s">
        <v>28</v>
      </c>
      <c r="L520" s="1" t="s">
        <v>21</v>
      </c>
      <c r="M520" s="1">
        <v>5.5</v>
      </c>
      <c r="N520" s="1">
        <v>143.69999999999999</v>
      </c>
      <c r="O520" s="1">
        <v>33597000</v>
      </c>
      <c r="P520" t="s">
        <v>2282</v>
      </c>
    </row>
    <row r="521" spans="1:16" hidden="1" x14ac:dyDescent="0.3">
      <c r="A521" s="1" t="s">
        <v>1232</v>
      </c>
      <c r="B521" s="1" t="s">
        <v>37</v>
      </c>
      <c r="C521" s="1" t="s">
        <v>1233</v>
      </c>
      <c r="D521" s="1" t="s">
        <v>31</v>
      </c>
      <c r="E521" s="1" t="s">
        <v>219</v>
      </c>
      <c r="F521" s="1" t="s">
        <v>33</v>
      </c>
      <c r="G521" s="6">
        <v>43660</v>
      </c>
      <c r="H521" s="1">
        <v>2009</v>
      </c>
      <c r="I521" t="s">
        <v>89</v>
      </c>
      <c r="J521" s="1">
        <v>174</v>
      </c>
      <c r="K521" s="1" t="s">
        <v>28</v>
      </c>
      <c r="L521" s="1" t="s">
        <v>52</v>
      </c>
      <c r="M521" s="1">
        <v>9.8000000000000007</v>
      </c>
      <c r="N521" s="1">
        <v>97.94</v>
      </c>
      <c r="O521" s="1">
        <v>74876000</v>
      </c>
      <c r="P521" t="s">
        <v>2281</v>
      </c>
    </row>
    <row r="522" spans="1:16" x14ac:dyDescent="0.3">
      <c r="A522" s="1" t="s">
        <v>1234</v>
      </c>
      <c r="B522" s="1" t="s">
        <v>14</v>
      </c>
      <c r="C522" s="1" t="s">
        <v>1235</v>
      </c>
      <c r="D522" s="1" t="s">
        <v>31</v>
      </c>
      <c r="E522" s="1" t="s">
        <v>123</v>
      </c>
      <c r="F522" s="1" t="s">
        <v>59</v>
      </c>
      <c r="G522" s="6">
        <v>44217</v>
      </c>
      <c r="H522" s="1">
        <v>2008</v>
      </c>
      <c r="I522" t="s">
        <v>34</v>
      </c>
      <c r="J522" s="1">
        <v>8</v>
      </c>
      <c r="K522" s="1" t="s">
        <v>20</v>
      </c>
      <c r="L522" s="1" t="s">
        <v>52</v>
      </c>
      <c r="M522" s="1">
        <v>3.5</v>
      </c>
      <c r="N522" s="1">
        <v>146.74</v>
      </c>
      <c r="O522" s="1">
        <v>84770000</v>
      </c>
      <c r="P522" t="s">
        <v>2282</v>
      </c>
    </row>
    <row r="523" spans="1:16" x14ac:dyDescent="0.3">
      <c r="A523" s="1" t="s">
        <v>1236</v>
      </c>
      <c r="B523" s="1" t="s">
        <v>14</v>
      </c>
      <c r="C523" s="1" t="s">
        <v>1237</v>
      </c>
      <c r="D523" s="1" t="s">
        <v>72</v>
      </c>
      <c r="E523" s="1" t="s">
        <v>722</v>
      </c>
      <c r="F523" s="1" t="s">
        <v>51</v>
      </c>
      <c r="G523" s="6">
        <v>43574</v>
      </c>
      <c r="H523" s="1">
        <v>2016</v>
      </c>
      <c r="I523" t="s">
        <v>27</v>
      </c>
      <c r="J523" s="1">
        <v>8</v>
      </c>
      <c r="K523" s="1" t="s">
        <v>20</v>
      </c>
      <c r="L523" s="1" t="s">
        <v>69</v>
      </c>
      <c r="M523" s="1">
        <v>8</v>
      </c>
      <c r="N523" s="1">
        <v>118.19</v>
      </c>
      <c r="O523" s="1">
        <v>69305000</v>
      </c>
      <c r="P523" t="s">
        <v>2282</v>
      </c>
    </row>
    <row r="524" spans="1:16" hidden="1" x14ac:dyDescent="0.3">
      <c r="A524" s="1" t="s">
        <v>1238</v>
      </c>
      <c r="B524" s="1" t="s">
        <v>37</v>
      </c>
      <c r="C524" s="1" t="s">
        <v>1239</v>
      </c>
      <c r="D524" s="1" t="s">
        <v>16</v>
      </c>
      <c r="E524" s="1" t="s">
        <v>50</v>
      </c>
      <c r="F524" s="1" t="s">
        <v>18</v>
      </c>
      <c r="G524" s="6">
        <v>43172</v>
      </c>
      <c r="H524" s="1">
        <v>2001</v>
      </c>
      <c r="I524" t="s">
        <v>89</v>
      </c>
      <c r="J524" s="1">
        <v>109</v>
      </c>
      <c r="K524" s="1" t="s">
        <v>28</v>
      </c>
      <c r="L524" s="1" t="s">
        <v>35</v>
      </c>
      <c r="M524" s="1">
        <v>9.9</v>
      </c>
      <c r="N524" s="1">
        <v>1.1100000000000001</v>
      </c>
      <c r="O524" s="1">
        <v>29874000</v>
      </c>
      <c r="P524" t="s">
        <v>2281</v>
      </c>
    </row>
    <row r="525" spans="1:16" hidden="1" x14ac:dyDescent="0.3">
      <c r="A525" s="1" t="s">
        <v>1240</v>
      </c>
      <c r="B525" s="1" t="s">
        <v>37</v>
      </c>
      <c r="C525" s="1" t="s">
        <v>1241</v>
      </c>
      <c r="D525" s="1" t="s">
        <v>31</v>
      </c>
      <c r="E525" s="1" t="s">
        <v>1242</v>
      </c>
      <c r="F525" s="1" t="s">
        <v>45</v>
      </c>
      <c r="G525" s="6">
        <v>44828</v>
      </c>
      <c r="H525" s="1">
        <v>1995</v>
      </c>
      <c r="I525" t="s">
        <v>34</v>
      </c>
      <c r="J525" s="1">
        <v>138</v>
      </c>
      <c r="K525" s="1" t="s">
        <v>28</v>
      </c>
      <c r="L525" s="1" t="s">
        <v>21</v>
      </c>
      <c r="M525" s="1">
        <v>5.5</v>
      </c>
      <c r="N525" s="1">
        <v>107.96</v>
      </c>
      <c r="O525" s="1">
        <v>60479000</v>
      </c>
      <c r="P525" t="s">
        <v>2281</v>
      </c>
    </row>
    <row r="526" spans="1:16" hidden="1" x14ac:dyDescent="0.3">
      <c r="A526" s="1" t="s">
        <v>1243</v>
      </c>
      <c r="B526" s="1" t="s">
        <v>37</v>
      </c>
      <c r="C526" s="1" t="s">
        <v>1244</v>
      </c>
      <c r="D526" s="1" t="s">
        <v>49</v>
      </c>
      <c r="E526" s="1" t="s">
        <v>1245</v>
      </c>
      <c r="F526" s="1" t="s">
        <v>59</v>
      </c>
      <c r="G526" s="6">
        <v>44356</v>
      </c>
      <c r="H526" s="1">
        <v>1996</v>
      </c>
      <c r="I526" t="s">
        <v>19</v>
      </c>
      <c r="J526" s="1">
        <v>117</v>
      </c>
      <c r="K526" s="1" t="s">
        <v>28</v>
      </c>
      <c r="L526" s="1" t="s">
        <v>21</v>
      </c>
      <c r="M526" s="1">
        <v>7.8</v>
      </c>
      <c r="N526" s="1">
        <v>19.32</v>
      </c>
      <c r="O526" s="1">
        <v>44791000</v>
      </c>
      <c r="P526" t="s">
        <v>2282</v>
      </c>
    </row>
    <row r="527" spans="1:16" hidden="1" x14ac:dyDescent="0.3">
      <c r="A527" s="1" t="s">
        <v>1246</v>
      </c>
      <c r="B527" s="1" t="s">
        <v>37</v>
      </c>
      <c r="C527" s="1" t="s">
        <v>1247</v>
      </c>
      <c r="D527" s="1" t="s">
        <v>62</v>
      </c>
      <c r="E527" s="1" t="s">
        <v>1248</v>
      </c>
      <c r="F527" s="1" t="s">
        <v>45</v>
      </c>
      <c r="G527" s="6">
        <v>44121</v>
      </c>
      <c r="H527" s="1">
        <v>1996</v>
      </c>
      <c r="I527" t="s">
        <v>77</v>
      </c>
      <c r="J527" s="1">
        <v>119</v>
      </c>
      <c r="K527" s="1" t="s">
        <v>28</v>
      </c>
      <c r="L527" s="1" t="s">
        <v>21</v>
      </c>
      <c r="M527" s="1">
        <v>5</v>
      </c>
      <c r="N527" s="1">
        <v>43.17</v>
      </c>
      <c r="O527" s="1">
        <v>13513000</v>
      </c>
      <c r="P527" t="s">
        <v>2281</v>
      </c>
    </row>
    <row r="528" spans="1:16" hidden="1" x14ac:dyDescent="0.3">
      <c r="A528" s="1" t="s">
        <v>1249</v>
      </c>
      <c r="B528" s="1" t="s">
        <v>37</v>
      </c>
      <c r="C528" s="1" t="s">
        <v>1250</v>
      </c>
      <c r="D528" s="1" t="s">
        <v>72</v>
      </c>
      <c r="E528" s="1" t="s">
        <v>72</v>
      </c>
      <c r="F528" s="1" t="s">
        <v>158</v>
      </c>
      <c r="G528" s="6">
        <v>44997</v>
      </c>
      <c r="H528" s="1">
        <v>2002</v>
      </c>
      <c r="I528" t="s">
        <v>89</v>
      </c>
      <c r="J528" s="1">
        <v>160</v>
      </c>
      <c r="K528" s="1" t="s">
        <v>28</v>
      </c>
      <c r="L528" s="1" t="s">
        <v>46</v>
      </c>
      <c r="M528" s="1">
        <v>8.3000000000000007</v>
      </c>
      <c r="N528" s="1">
        <v>55.51</v>
      </c>
      <c r="O528" s="1">
        <v>62715000</v>
      </c>
      <c r="P528" t="s">
        <v>2281</v>
      </c>
    </row>
    <row r="529" spans="1:16" hidden="1" x14ac:dyDescent="0.3">
      <c r="A529" s="1" t="s">
        <v>1251</v>
      </c>
      <c r="B529" s="1" t="s">
        <v>37</v>
      </c>
      <c r="C529" s="1" t="s">
        <v>1252</v>
      </c>
      <c r="D529" s="1" t="s">
        <v>16</v>
      </c>
      <c r="E529" s="1" t="s">
        <v>1253</v>
      </c>
      <c r="F529" s="1" t="s">
        <v>51</v>
      </c>
      <c r="G529" s="6">
        <v>43520</v>
      </c>
      <c r="H529" s="1">
        <v>1999</v>
      </c>
      <c r="I529" t="s">
        <v>19</v>
      </c>
      <c r="J529" s="1">
        <v>85</v>
      </c>
      <c r="K529" s="1" t="s">
        <v>28</v>
      </c>
      <c r="L529" s="1" t="s">
        <v>41</v>
      </c>
      <c r="M529" s="1">
        <v>2</v>
      </c>
      <c r="N529" s="1">
        <v>118.46</v>
      </c>
      <c r="O529" s="1">
        <v>100389000</v>
      </c>
      <c r="P529" t="s">
        <v>2281</v>
      </c>
    </row>
    <row r="530" spans="1:16" hidden="1" x14ac:dyDescent="0.3">
      <c r="A530" s="1" t="s">
        <v>1254</v>
      </c>
      <c r="B530" s="1" t="s">
        <v>37</v>
      </c>
      <c r="C530" s="1" t="s">
        <v>1255</v>
      </c>
      <c r="D530" s="1" t="s">
        <v>72</v>
      </c>
      <c r="E530" s="1" t="s">
        <v>717</v>
      </c>
      <c r="F530" s="1" t="s">
        <v>33</v>
      </c>
      <c r="G530" s="6">
        <v>43463</v>
      </c>
      <c r="H530" s="1">
        <v>2017</v>
      </c>
      <c r="I530" t="s">
        <v>77</v>
      </c>
      <c r="J530" s="1">
        <v>97</v>
      </c>
      <c r="K530" s="1" t="s">
        <v>28</v>
      </c>
      <c r="L530" s="1" t="s">
        <v>69</v>
      </c>
      <c r="M530" s="1">
        <v>2.9</v>
      </c>
      <c r="N530" s="1">
        <v>15.05</v>
      </c>
      <c r="O530" s="1">
        <v>35794000</v>
      </c>
      <c r="P530" t="s">
        <v>2282</v>
      </c>
    </row>
    <row r="531" spans="1:16" x14ac:dyDescent="0.3">
      <c r="A531" s="1" t="s">
        <v>1256</v>
      </c>
      <c r="B531" s="1" t="s">
        <v>14</v>
      </c>
      <c r="C531" s="1" t="s">
        <v>1257</v>
      </c>
      <c r="D531" s="1" t="s">
        <v>31</v>
      </c>
      <c r="E531" s="1" t="s">
        <v>50</v>
      </c>
      <c r="F531" s="1" t="s">
        <v>33</v>
      </c>
      <c r="G531" s="6">
        <v>44604</v>
      </c>
      <c r="H531" s="1">
        <v>2008</v>
      </c>
      <c r="I531" t="s">
        <v>77</v>
      </c>
      <c r="J531" s="1">
        <v>6</v>
      </c>
      <c r="K531" s="1" t="s">
        <v>20</v>
      </c>
      <c r="L531" s="1" t="s">
        <v>21</v>
      </c>
      <c r="M531" s="1">
        <v>5</v>
      </c>
      <c r="N531" s="1">
        <v>82.98</v>
      </c>
      <c r="O531" s="1">
        <v>8514000</v>
      </c>
      <c r="P531" t="s">
        <v>2281</v>
      </c>
    </row>
    <row r="532" spans="1:16" hidden="1" x14ac:dyDescent="0.3">
      <c r="A532" s="1" t="s">
        <v>1258</v>
      </c>
      <c r="B532" s="1" t="s">
        <v>37</v>
      </c>
      <c r="C532" s="1" t="s">
        <v>1259</v>
      </c>
      <c r="D532" s="1" t="s">
        <v>62</v>
      </c>
      <c r="E532" s="1" t="s">
        <v>95</v>
      </c>
      <c r="F532" s="1" t="s">
        <v>18</v>
      </c>
      <c r="G532" s="6">
        <v>42706</v>
      </c>
      <c r="H532" s="1">
        <v>2011</v>
      </c>
      <c r="I532" t="s">
        <v>34</v>
      </c>
      <c r="J532" s="1">
        <v>122</v>
      </c>
      <c r="K532" s="1" t="s">
        <v>28</v>
      </c>
      <c r="L532" s="1" t="s">
        <v>46</v>
      </c>
      <c r="M532" s="1">
        <v>3.5</v>
      </c>
      <c r="N532" s="1">
        <v>52.11</v>
      </c>
      <c r="O532" s="1">
        <v>50775000</v>
      </c>
      <c r="P532" t="s">
        <v>2282</v>
      </c>
    </row>
    <row r="533" spans="1:16" hidden="1" x14ac:dyDescent="0.3">
      <c r="A533" s="1" t="s">
        <v>1260</v>
      </c>
      <c r="B533" s="1" t="s">
        <v>37</v>
      </c>
      <c r="C533" s="1" t="s">
        <v>1261</v>
      </c>
      <c r="D533" s="1" t="s">
        <v>16</v>
      </c>
      <c r="E533" s="1" t="s">
        <v>123</v>
      </c>
      <c r="F533" s="1" t="s">
        <v>18</v>
      </c>
      <c r="G533" s="6">
        <v>43702</v>
      </c>
      <c r="H533" s="1">
        <v>1994</v>
      </c>
      <c r="I533" t="s">
        <v>27</v>
      </c>
      <c r="J533" s="1">
        <v>60</v>
      </c>
      <c r="K533" s="1" t="s">
        <v>28</v>
      </c>
      <c r="L533" s="1" t="s">
        <v>41</v>
      </c>
      <c r="M533" s="1">
        <v>4.5</v>
      </c>
      <c r="N533" s="1">
        <v>108.33</v>
      </c>
      <c r="O533" s="1">
        <v>36409000</v>
      </c>
      <c r="P533" t="s">
        <v>2282</v>
      </c>
    </row>
    <row r="534" spans="1:16" hidden="1" x14ac:dyDescent="0.3">
      <c r="A534" s="1" t="s">
        <v>1262</v>
      </c>
      <c r="B534" s="1" t="s">
        <v>37</v>
      </c>
      <c r="C534" s="1" t="s">
        <v>1263</v>
      </c>
      <c r="D534" s="1" t="s">
        <v>24</v>
      </c>
      <c r="E534" s="1" t="s">
        <v>222</v>
      </c>
      <c r="F534" s="1" t="s">
        <v>158</v>
      </c>
      <c r="G534" s="6">
        <v>42933</v>
      </c>
      <c r="H534" s="1">
        <v>2017</v>
      </c>
      <c r="I534" t="s">
        <v>89</v>
      </c>
      <c r="J534" s="1">
        <v>66</v>
      </c>
      <c r="K534" s="1" t="s">
        <v>28</v>
      </c>
      <c r="L534" s="1" t="s">
        <v>35</v>
      </c>
      <c r="M534" s="1">
        <v>5.8</v>
      </c>
      <c r="N534" s="1">
        <v>40.58</v>
      </c>
      <c r="O534" s="1">
        <v>25875000</v>
      </c>
      <c r="P534" t="s">
        <v>2282</v>
      </c>
    </row>
    <row r="535" spans="1:16" hidden="1" x14ac:dyDescent="0.3">
      <c r="A535" s="1" t="s">
        <v>1264</v>
      </c>
      <c r="B535" s="1" t="s">
        <v>37</v>
      </c>
      <c r="C535" s="1" t="s">
        <v>1265</v>
      </c>
      <c r="D535" s="1" t="s">
        <v>72</v>
      </c>
      <c r="E535" s="1" t="s">
        <v>1092</v>
      </c>
      <c r="F535" s="1" t="s">
        <v>51</v>
      </c>
      <c r="G535" s="6">
        <v>42659</v>
      </c>
      <c r="H535" s="1">
        <v>2020</v>
      </c>
      <c r="I535" t="s">
        <v>34</v>
      </c>
      <c r="J535" s="1">
        <v>165</v>
      </c>
      <c r="K535" s="1" t="s">
        <v>28</v>
      </c>
      <c r="L535" s="1" t="s">
        <v>21</v>
      </c>
      <c r="M535" s="1">
        <v>3.6</v>
      </c>
      <c r="N535" s="1">
        <v>80.62</v>
      </c>
      <c r="O535" s="1">
        <v>70608000</v>
      </c>
      <c r="P535" t="s">
        <v>2281</v>
      </c>
    </row>
    <row r="536" spans="1:16" hidden="1" x14ac:dyDescent="0.3">
      <c r="A536" s="1" t="s">
        <v>1266</v>
      </c>
      <c r="B536" s="1" t="s">
        <v>37</v>
      </c>
      <c r="C536" s="1" t="s">
        <v>1267</v>
      </c>
      <c r="D536" s="1" t="s">
        <v>39</v>
      </c>
      <c r="E536" s="1" t="s">
        <v>794</v>
      </c>
      <c r="F536" s="1" t="s">
        <v>33</v>
      </c>
      <c r="G536" s="6">
        <v>45126</v>
      </c>
      <c r="H536" s="1">
        <v>2017</v>
      </c>
      <c r="I536" t="s">
        <v>19</v>
      </c>
      <c r="J536" s="1">
        <v>141</v>
      </c>
      <c r="K536" s="1" t="s">
        <v>28</v>
      </c>
      <c r="L536" s="1" t="s">
        <v>41</v>
      </c>
      <c r="M536" s="1">
        <v>4.7</v>
      </c>
      <c r="N536" s="1">
        <v>128.38999999999999</v>
      </c>
      <c r="O536" s="1">
        <v>84761000</v>
      </c>
      <c r="P536" t="s">
        <v>2282</v>
      </c>
    </row>
    <row r="537" spans="1:16" hidden="1" x14ac:dyDescent="0.3">
      <c r="A537" s="1" t="s">
        <v>1268</v>
      </c>
      <c r="B537" s="1" t="s">
        <v>37</v>
      </c>
      <c r="C537" s="1" t="s">
        <v>1269</v>
      </c>
      <c r="D537" s="1" t="s">
        <v>49</v>
      </c>
      <c r="E537" s="1" t="s">
        <v>1270</v>
      </c>
      <c r="F537" s="1" t="s">
        <v>45</v>
      </c>
      <c r="G537" s="6">
        <v>43460</v>
      </c>
      <c r="H537" s="1">
        <v>1996</v>
      </c>
      <c r="I537" t="s">
        <v>89</v>
      </c>
      <c r="J537" s="1">
        <v>162</v>
      </c>
      <c r="K537" s="1" t="s">
        <v>28</v>
      </c>
      <c r="L537" s="1" t="s">
        <v>21</v>
      </c>
      <c r="M537" s="1">
        <v>2.1</v>
      </c>
      <c r="N537" s="1">
        <v>83.57</v>
      </c>
      <c r="O537" s="1">
        <v>48580000</v>
      </c>
      <c r="P537" t="s">
        <v>2282</v>
      </c>
    </row>
    <row r="538" spans="1:16" x14ac:dyDescent="0.3">
      <c r="A538" s="1" t="s">
        <v>1271</v>
      </c>
      <c r="B538" s="1" t="s">
        <v>14</v>
      </c>
      <c r="C538" s="1" t="s">
        <v>1272</v>
      </c>
      <c r="D538" s="1" t="s">
        <v>39</v>
      </c>
      <c r="E538" s="1" t="s">
        <v>1273</v>
      </c>
      <c r="F538" s="1" t="s">
        <v>59</v>
      </c>
      <c r="G538" s="6">
        <v>43778</v>
      </c>
      <c r="H538" s="1">
        <v>1994</v>
      </c>
      <c r="I538" t="s">
        <v>77</v>
      </c>
      <c r="J538" s="1">
        <v>5</v>
      </c>
      <c r="K538" s="1" t="s">
        <v>20</v>
      </c>
      <c r="L538" s="1" t="s">
        <v>21</v>
      </c>
      <c r="M538" s="1">
        <v>2</v>
      </c>
      <c r="N538" s="1">
        <v>129.33000000000001</v>
      </c>
      <c r="O538" s="1">
        <v>78333000</v>
      </c>
      <c r="P538" t="s">
        <v>2282</v>
      </c>
    </row>
    <row r="539" spans="1:16" hidden="1" x14ac:dyDescent="0.3">
      <c r="A539" s="1" t="s">
        <v>1274</v>
      </c>
      <c r="B539" s="1" t="s">
        <v>37</v>
      </c>
      <c r="C539" s="1" t="s">
        <v>1275</v>
      </c>
      <c r="D539" s="1" t="s">
        <v>39</v>
      </c>
      <c r="E539" s="1" t="s">
        <v>344</v>
      </c>
      <c r="F539" s="1" t="s">
        <v>26</v>
      </c>
      <c r="G539" s="6">
        <v>44320</v>
      </c>
      <c r="H539" s="1">
        <v>2014</v>
      </c>
      <c r="I539" t="s">
        <v>55</v>
      </c>
      <c r="J539" s="1">
        <v>118</v>
      </c>
      <c r="K539" s="1" t="s">
        <v>28</v>
      </c>
      <c r="L539" s="1" t="s">
        <v>21</v>
      </c>
      <c r="M539" s="1">
        <v>2.2000000000000002</v>
      </c>
      <c r="N539" s="1">
        <v>39.76</v>
      </c>
      <c r="O539" s="1">
        <v>28884000</v>
      </c>
      <c r="P539" t="s">
        <v>2282</v>
      </c>
    </row>
    <row r="540" spans="1:16" hidden="1" x14ac:dyDescent="0.3">
      <c r="A540" s="1" t="s">
        <v>1276</v>
      </c>
      <c r="B540" s="1" t="s">
        <v>37</v>
      </c>
      <c r="C540" s="1" t="s">
        <v>1277</v>
      </c>
      <c r="D540" s="1" t="s">
        <v>62</v>
      </c>
      <c r="E540" s="1" t="s">
        <v>316</v>
      </c>
      <c r="F540" s="1" t="s">
        <v>33</v>
      </c>
      <c r="G540" s="6">
        <v>43498</v>
      </c>
      <c r="H540" s="1">
        <v>1994</v>
      </c>
      <c r="I540" t="s">
        <v>34</v>
      </c>
      <c r="J540" s="1">
        <v>91</v>
      </c>
      <c r="K540" s="1" t="s">
        <v>28</v>
      </c>
      <c r="L540" s="1" t="s">
        <v>69</v>
      </c>
      <c r="M540" s="1">
        <v>6.4</v>
      </c>
      <c r="N540" s="1">
        <v>67.760000000000005</v>
      </c>
      <c r="O540" s="1">
        <v>62675000</v>
      </c>
      <c r="P540" t="s">
        <v>2282</v>
      </c>
    </row>
    <row r="541" spans="1:16" x14ac:dyDescent="0.3">
      <c r="A541" s="1" t="s">
        <v>1278</v>
      </c>
      <c r="B541" s="1" t="s">
        <v>14</v>
      </c>
      <c r="C541" s="1" t="s">
        <v>1279</v>
      </c>
      <c r="D541" s="1" t="s">
        <v>39</v>
      </c>
      <c r="E541" s="1" t="s">
        <v>1280</v>
      </c>
      <c r="F541" s="1" t="s">
        <v>33</v>
      </c>
      <c r="G541" s="6">
        <v>44654</v>
      </c>
      <c r="H541" s="1">
        <v>2010</v>
      </c>
      <c r="I541" t="s">
        <v>19</v>
      </c>
      <c r="J541" s="1">
        <v>6</v>
      </c>
      <c r="K541" s="1" t="s">
        <v>20</v>
      </c>
      <c r="L541" s="1" t="s">
        <v>46</v>
      </c>
      <c r="M541" s="1">
        <v>9.8000000000000007</v>
      </c>
      <c r="N541" s="1">
        <v>145.44</v>
      </c>
      <c r="O541" s="1">
        <v>2596000</v>
      </c>
      <c r="P541" t="s">
        <v>2281</v>
      </c>
    </row>
    <row r="542" spans="1:16" hidden="1" x14ac:dyDescent="0.3">
      <c r="A542" s="1" t="s">
        <v>1281</v>
      </c>
      <c r="B542" s="1" t="s">
        <v>37</v>
      </c>
      <c r="C542" s="1" t="s">
        <v>1282</v>
      </c>
      <c r="D542" s="1" t="s">
        <v>16</v>
      </c>
      <c r="E542" s="1" t="s">
        <v>153</v>
      </c>
      <c r="F542" s="1" t="s">
        <v>76</v>
      </c>
      <c r="G542" s="6">
        <v>42782</v>
      </c>
      <c r="H542" s="1">
        <v>2009</v>
      </c>
      <c r="I542" t="s">
        <v>19</v>
      </c>
      <c r="J542" s="1">
        <v>71</v>
      </c>
      <c r="K542" s="1" t="s">
        <v>28</v>
      </c>
      <c r="L542" s="1" t="s">
        <v>69</v>
      </c>
      <c r="M542" s="1">
        <v>3.3</v>
      </c>
      <c r="N542" s="1">
        <v>128.13</v>
      </c>
      <c r="O542" s="1">
        <v>47570000</v>
      </c>
      <c r="P542" t="s">
        <v>2282</v>
      </c>
    </row>
    <row r="543" spans="1:16" hidden="1" x14ac:dyDescent="0.3">
      <c r="A543" s="1" t="s">
        <v>1283</v>
      </c>
      <c r="B543" s="1" t="s">
        <v>37</v>
      </c>
      <c r="C543" s="1" t="s">
        <v>1284</v>
      </c>
      <c r="D543" s="1" t="s">
        <v>62</v>
      </c>
      <c r="E543" s="1" t="s">
        <v>484</v>
      </c>
      <c r="F543" s="1" t="s">
        <v>45</v>
      </c>
      <c r="G543" s="6">
        <v>44728</v>
      </c>
      <c r="H543" s="1">
        <v>2014</v>
      </c>
      <c r="I543" t="s">
        <v>77</v>
      </c>
      <c r="J543" s="1">
        <v>168</v>
      </c>
      <c r="K543" s="1" t="s">
        <v>28</v>
      </c>
      <c r="L543" s="1" t="s">
        <v>52</v>
      </c>
      <c r="M543" s="1">
        <v>6.6</v>
      </c>
      <c r="N543" s="1">
        <v>40.340000000000003</v>
      </c>
      <c r="O543" s="1">
        <v>10573000</v>
      </c>
      <c r="P543" t="s">
        <v>2281</v>
      </c>
    </row>
    <row r="544" spans="1:16" hidden="1" x14ac:dyDescent="0.3">
      <c r="A544" s="1" t="s">
        <v>1285</v>
      </c>
      <c r="B544" s="1" t="s">
        <v>37</v>
      </c>
      <c r="C544" s="1" t="s">
        <v>1286</v>
      </c>
      <c r="D544" s="1" t="s">
        <v>16</v>
      </c>
      <c r="E544" s="1" t="s">
        <v>123</v>
      </c>
      <c r="F544" s="1" t="s">
        <v>33</v>
      </c>
      <c r="G544" s="6">
        <v>44713</v>
      </c>
      <c r="H544" s="1">
        <v>2014</v>
      </c>
      <c r="I544" t="s">
        <v>34</v>
      </c>
      <c r="J544" s="1">
        <v>75</v>
      </c>
      <c r="K544" s="1" t="s">
        <v>28</v>
      </c>
      <c r="L544" s="1" t="s">
        <v>21</v>
      </c>
      <c r="M544" s="1">
        <v>5.8</v>
      </c>
      <c r="N544" s="1">
        <v>106.04</v>
      </c>
      <c r="O544" s="1">
        <v>32813000</v>
      </c>
      <c r="P544" t="s">
        <v>2282</v>
      </c>
    </row>
    <row r="545" spans="1:16" hidden="1" x14ac:dyDescent="0.3">
      <c r="A545" s="1" t="s">
        <v>1287</v>
      </c>
      <c r="B545" s="1" t="s">
        <v>37</v>
      </c>
      <c r="C545" s="1" t="s">
        <v>1288</v>
      </c>
      <c r="D545" s="1" t="s">
        <v>72</v>
      </c>
      <c r="E545" s="1" t="s">
        <v>414</v>
      </c>
      <c r="F545" s="1" t="s">
        <v>45</v>
      </c>
      <c r="G545" s="6">
        <v>44582</v>
      </c>
      <c r="H545" s="1">
        <v>1995</v>
      </c>
      <c r="I545" t="s">
        <v>27</v>
      </c>
      <c r="J545" s="1">
        <v>85</v>
      </c>
      <c r="K545" s="1" t="s">
        <v>28</v>
      </c>
      <c r="L545" s="1" t="s">
        <v>41</v>
      </c>
      <c r="M545" s="1">
        <v>3.3</v>
      </c>
      <c r="N545" s="1">
        <v>98.94</v>
      </c>
      <c r="O545" s="1">
        <v>13812000</v>
      </c>
      <c r="P545" t="s">
        <v>2282</v>
      </c>
    </row>
    <row r="546" spans="1:16" hidden="1" x14ac:dyDescent="0.3">
      <c r="A546" s="1" t="s">
        <v>1289</v>
      </c>
      <c r="B546" s="1" t="s">
        <v>37</v>
      </c>
      <c r="C546" s="1" t="s">
        <v>1290</v>
      </c>
      <c r="D546" s="1" t="s">
        <v>49</v>
      </c>
      <c r="E546" s="1" t="s">
        <v>843</v>
      </c>
      <c r="F546" s="1" t="s">
        <v>26</v>
      </c>
      <c r="G546" s="6">
        <v>43022</v>
      </c>
      <c r="H546" s="1">
        <v>1996</v>
      </c>
      <c r="I546" t="s">
        <v>19</v>
      </c>
      <c r="J546" s="1">
        <v>122</v>
      </c>
      <c r="K546" s="1" t="s">
        <v>28</v>
      </c>
      <c r="L546" s="1" t="s">
        <v>41</v>
      </c>
      <c r="M546" s="1">
        <v>2.5</v>
      </c>
      <c r="N546" s="1">
        <v>19.149999999999999</v>
      </c>
      <c r="O546" s="1">
        <v>3121000</v>
      </c>
      <c r="P546" t="s">
        <v>2281</v>
      </c>
    </row>
    <row r="547" spans="1:16" x14ac:dyDescent="0.3">
      <c r="A547" s="1" t="s">
        <v>1291</v>
      </c>
      <c r="B547" s="1" t="s">
        <v>14</v>
      </c>
      <c r="C547" s="1" t="s">
        <v>1292</v>
      </c>
      <c r="D547" s="1" t="s">
        <v>62</v>
      </c>
      <c r="E547" s="1" t="s">
        <v>50</v>
      </c>
      <c r="F547" s="1" t="s">
        <v>45</v>
      </c>
      <c r="G547" s="6">
        <v>44604</v>
      </c>
      <c r="H547" s="1">
        <v>2015</v>
      </c>
      <c r="I547" t="s">
        <v>19</v>
      </c>
      <c r="J547" s="1">
        <v>4</v>
      </c>
      <c r="K547" s="1" t="s">
        <v>20</v>
      </c>
      <c r="L547" s="1" t="s">
        <v>21</v>
      </c>
      <c r="M547" s="1">
        <v>6.6</v>
      </c>
      <c r="N547" s="1">
        <v>25.89</v>
      </c>
      <c r="O547" s="1">
        <v>26723000</v>
      </c>
      <c r="P547" t="s">
        <v>2282</v>
      </c>
    </row>
    <row r="548" spans="1:16" hidden="1" x14ac:dyDescent="0.3">
      <c r="A548" s="1" t="s">
        <v>1293</v>
      </c>
      <c r="B548" s="1" t="s">
        <v>37</v>
      </c>
      <c r="C548" s="1" t="s">
        <v>1294</v>
      </c>
      <c r="D548" s="1" t="s">
        <v>31</v>
      </c>
      <c r="E548" s="1" t="s">
        <v>1295</v>
      </c>
      <c r="F548" s="1" t="s">
        <v>76</v>
      </c>
      <c r="G548" s="6">
        <v>44562</v>
      </c>
      <c r="H548" s="1">
        <v>1994</v>
      </c>
      <c r="I548" t="s">
        <v>77</v>
      </c>
      <c r="J548" s="1">
        <v>155</v>
      </c>
      <c r="K548" s="1" t="s">
        <v>28</v>
      </c>
      <c r="L548" s="1" t="s">
        <v>35</v>
      </c>
      <c r="M548" s="1">
        <v>7.7</v>
      </c>
      <c r="N548" s="1">
        <v>64.040000000000006</v>
      </c>
      <c r="O548" s="1">
        <v>65326000</v>
      </c>
      <c r="P548" t="s">
        <v>2281</v>
      </c>
    </row>
    <row r="549" spans="1:16" x14ac:dyDescent="0.3">
      <c r="A549" s="1" t="s">
        <v>1296</v>
      </c>
      <c r="B549" s="1" t="s">
        <v>14</v>
      </c>
      <c r="C549" s="1" t="s">
        <v>1297</v>
      </c>
      <c r="D549" s="1" t="s">
        <v>31</v>
      </c>
      <c r="E549" s="1" t="s">
        <v>123</v>
      </c>
      <c r="F549" s="1" t="s">
        <v>158</v>
      </c>
      <c r="G549" s="6">
        <v>43617</v>
      </c>
      <c r="H549" s="1">
        <v>2004</v>
      </c>
      <c r="I549" t="s">
        <v>19</v>
      </c>
      <c r="J549" s="1">
        <v>8</v>
      </c>
      <c r="K549" s="1" t="s">
        <v>20</v>
      </c>
      <c r="L549" s="1" t="s">
        <v>35</v>
      </c>
      <c r="M549" s="1">
        <v>1.4</v>
      </c>
      <c r="N549" s="1">
        <v>42.91</v>
      </c>
      <c r="O549" s="1">
        <v>60624000</v>
      </c>
      <c r="P549" t="s">
        <v>2281</v>
      </c>
    </row>
    <row r="550" spans="1:16" hidden="1" x14ac:dyDescent="0.3">
      <c r="A550" s="1" t="s">
        <v>1298</v>
      </c>
      <c r="B550" s="1" t="s">
        <v>37</v>
      </c>
      <c r="C550" s="1" t="s">
        <v>1299</v>
      </c>
      <c r="D550" s="1" t="s">
        <v>16</v>
      </c>
      <c r="E550" s="1" t="s">
        <v>895</v>
      </c>
      <c r="F550" s="1" t="s">
        <v>76</v>
      </c>
      <c r="G550" s="6">
        <v>44953</v>
      </c>
      <c r="H550" s="1">
        <v>2012</v>
      </c>
      <c r="I550" t="s">
        <v>77</v>
      </c>
      <c r="J550" s="1">
        <v>156</v>
      </c>
      <c r="K550" s="1" t="s">
        <v>28</v>
      </c>
      <c r="L550" s="1" t="s">
        <v>21</v>
      </c>
      <c r="M550" s="1">
        <v>9.6</v>
      </c>
      <c r="N550" s="1">
        <v>125.06</v>
      </c>
      <c r="O550" s="1">
        <v>82344000</v>
      </c>
      <c r="P550" t="s">
        <v>2281</v>
      </c>
    </row>
    <row r="551" spans="1:16" hidden="1" x14ac:dyDescent="0.3">
      <c r="A551" s="1" t="s">
        <v>1300</v>
      </c>
      <c r="B551" s="1" t="s">
        <v>37</v>
      </c>
      <c r="C551" s="1" t="s">
        <v>1301</v>
      </c>
      <c r="D551" s="1" t="s">
        <v>49</v>
      </c>
      <c r="E551" s="1" t="s">
        <v>316</v>
      </c>
      <c r="F551" s="1" t="s">
        <v>33</v>
      </c>
      <c r="G551" s="6">
        <v>44369</v>
      </c>
      <c r="H551" s="1">
        <v>2004</v>
      </c>
      <c r="I551" t="s">
        <v>27</v>
      </c>
      <c r="J551" s="1">
        <v>120</v>
      </c>
      <c r="K551" s="1" t="s">
        <v>28</v>
      </c>
      <c r="L551" s="1" t="s">
        <v>21</v>
      </c>
      <c r="M551" s="1">
        <v>7.8</v>
      </c>
      <c r="N551" s="1">
        <v>41.05</v>
      </c>
      <c r="O551" s="1">
        <v>46665000</v>
      </c>
      <c r="P551" t="s">
        <v>2281</v>
      </c>
    </row>
    <row r="552" spans="1:16" hidden="1" x14ac:dyDescent="0.3">
      <c r="A552" s="1" t="s">
        <v>1302</v>
      </c>
      <c r="B552" s="1" t="s">
        <v>37</v>
      </c>
      <c r="C552" s="1" t="s">
        <v>1303</v>
      </c>
      <c r="D552" s="1" t="s">
        <v>39</v>
      </c>
      <c r="E552" s="1" t="s">
        <v>58</v>
      </c>
      <c r="F552" s="1" t="s">
        <v>51</v>
      </c>
      <c r="G552" s="6">
        <v>44730</v>
      </c>
      <c r="H552" s="1">
        <v>2021</v>
      </c>
      <c r="I552" t="s">
        <v>55</v>
      </c>
      <c r="J552" s="1">
        <v>163</v>
      </c>
      <c r="K552" s="1" t="s">
        <v>28</v>
      </c>
      <c r="L552" s="1" t="s">
        <v>21</v>
      </c>
      <c r="M552" s="1">
        <v>2.1</v>
      </c>
      <c r="N552" s="1">
        <v>36.35</v>
      </c>
      <c r="O552" s="1">
        <v>44424000</v>
      </c>
      <c r="P552" t="s">
        <v>2282</v>
      </c>
    </row>
    <row r="553" spans="1:16" hidden="1" x14ac:dyDescent="0.3">
      <c r="A553" s="1" t="s">
        <v>1304</v>
      </c>
      <c r="B553" s="1" t="s">
        <v>37</v>
      </c>
      <c r="C553" s="1" t="s">
        <v>1305</v>
      </c>
      <c r="D553" s="1" t="s">
        <v>24</v>
      </c>
      <c r="E553" s="1" t="s">
        <v>232</v>
      </c>
      <c r="F553" s="1" t="s">
        <v>18</v>
      </c>
      <c r="G553" s="6">
        <v>44012</v>
      </c>
      <c r="H553" s="1">
        <v>2012</v>
      </c>
      <c r="I553" t="s">
        <v>77</v>
      </c>
      <c r="J553" s="1">
        <v>99</v>
      </c>
      <c r="K553" s="1" t="s">
        <v>28</v>
      </c>
      <c r="L553" s="1" t="s">
        <v>69</v>
      </c>
      <c r="M553" s="1">
        <v>9.9</v>
      </c>
      <c r="N553" s="1">
        <v>74.67</v>
      </c>
      <c r="O553" s="1">
        <v>43403000</v>
      </c>
      <c r="P553" t="s">
        <v>2281</v>
      </c>
    </row>
    <row r="554" spans="1:16" hidden="1" x14ac:dyDescent="0.3">
      <c r="A554" s="1" t="s">
        <v>1306</v>
      </c>
      <c r="B554" s="1" t="s">
        <v>37</v>
      </c>
      <c r="C554" s="1" t="s">
        <v>1307</v>
      </c>
      <c r="D554" s="1" t="s">
        <v>49</v>
      </c>
      <c r="E554" s="1" t="s">
        <v>1308</v>
      </c>
      <c r="F554" s="1" t="s">
        <v>45</v>
      </c>
      <c r="G554" s="6">
        <v>44293</v>
      </c>
      <c r="H554" s="1">
        <v>1998</v>
      </c>
      <c r="I554" t="s">
        <v>34</v>
      </c>
      <c r="J554" s="1">
        <v>156</v>
      </c>
      <c r="K554" s="1" t="s">
        <v>28</v>
      </c>
      <c r="L554" s="1" t="s">
        <v>21</v>
      </c>
      <c r="M554" s="1">
        <v>4.9000000000000004</v>
      </c>
      <c r="N554" s="1">
        <v>29.17</v>
      </c>
      <c r="O554" s="1">
        <v>65489000</v>
      </c>
      <c r="P554" t="s">
        <v>2282</v>
      </c>
    </row>
    <row r="555" spans="1:16" x14ac:dyDescent="0.3">
      <c r="A555" s="1" t="s">
        <v>1309</v>
      </c>
      <c r="B555" s="1" t="s">
        <v>14</v>
      </c>
      <c r="C555" s="1" t="s">
        <v>1310</v>
      </c>
      <c r="D555" s="1" t="s">
        <v>24</v>
      </c>
      <c r="E555" s="1" t="s">
        <v>40</v>
      </c>
      <c r="F555" s="1" t="s">
        <v>59</v>
      </c>
      <c r="G555" s="6">
        <v>42241</v>
      </c>
      <c r="H555" s="1">
        <v>2000</v>
      </c>
      <c r="I555" t="s">
        <v>27</v>
      </c>
      <c r="J555" s="1">
        <v>8</v>
      </c>
      <c r="K555" s="1" t="s">
        <v>20</v>
      </c>
      <c r="L555" s="1" t="s">
        <v>46</v>
      </c>
      <c r="M555" s="1">
        <v>3.9</v>
      </c>
      <c r="N555" s="1">
        <v>86.58</v>
      </c>
      <c r="O555" s="1">
        <v>37909000</v>
      </c>
      <c r="P555" t="s">
        <v>2282</v>
      </c>
    </row>
    <row r="556" spans="1:16" hidden="1" x14ac:dyDescent="0.3">
      <c r="A556" s="1" t="s">
        <v>1311</v>
      </c>
      <c r="B556" s="1" t="s">
        <v>37</v>
      </c>
      <c r="C556" s="1" t="s">
        <v>1312</v>
      </c>
      <c r="D556" s="1" t="s">
        <v>62</v>
      </c>
      <c r="E556" s="1" t="s">
        <v>372</v>
      </c>
      <c r="F556" s="1" t="s">
        <v>59</v>
      </c>
      <c r="G556" s="6">
        <v>42905</v>
      </c>
      <c r="H556" s="1">
        <v>2011</v>
      </c>
      <c r="I556" t="s">
        <v>34</v>
      </c>
      <c r="J556" s="1">
        <v>95</v>
      </c>
      <c r="K556" s="1" t="s">
        <v>28</v>
      </c>
      <c r="L556" s="1" t="s">
        <v>35</v>
      </c>
      <c r="M556" s="1">
        <v>2.6</v>
      </c>
      <c r="N556" s="1">
        <v>124.18</v>
      </c>
      <c r="O556" s="1">
        <v>2531000</v>
      </c>
      <c r="P556" t="s">
        <v>2281</v>
      </c>
    </row>
    <row r="557" spans="1:16" hidden="1" x14ac:dyDescent="0.3">
      <c r="A557" s="1" t="s">
        <v>1313</v>
      </c>
      <c r="B557" s="1" t="s">
        <v>37</v>
      </c>
      <c r="C557" s="1" t="s">
        <v>1314</v>
      </c>
      <c r="D557" s="1" t="s">
        <v>62</v>
      </c>
      <c r="E557" s="1" t="s">
        <v>267</v>
      </c>
      <c r="F557" s="1" t="s">
        <v>76</v>
      </c>
      <c r="G557" s="6">
        <v>42571</v>
      </c>
      <c r="H557" s="1">
        <v>2006</v>
      </c>
      <c r="I557" t="s">
        <v>27</v>
      </c>
      <c r="J557" s="1">
        <v>79</v>
      </c>
      <c r="K557" s="1" t="s">
        <v>28</v>
      </c>
      <c r="L557" s="1" t="s">
        <v>69</v>
      </c>
      <c r="M557" s="1">
        <v>8.6999999999999993</v>
      </c>
      <c r="N557" s="1">
        <v>42.27</v>
      </c>
      <c r="O557" s="1">
        <v>89255000</v>
      </c>
      <c r="P557" t="s">
        <v>2281</v>
      </c>
    </row>
    <row r="558" spans="1:16" hidden="1" x14ac:dyDescent="0.3">
      <c r="A558" s="1" t="s">
        <v>1315</v>
      </c>
      <c r="B558" s="1" t="s">
        <v>37</v>
      </c>
      <c r="C558" s="1" t="s">
        <v>1316</v>
      </c>
      <c r="D558" s="1" t="s">
        <v>31</v>
      </c>
      <c r="E558" s="1" t="s">
        <v>40</v>
      </c>
      <c r="F558" s="1" t="s">
        <v>18</v>
      </c>
      <c r="G558" s="6">
        <v>42350</v>
      </c>
      <c r="H558" s="1">
        <v>2010</v>
      </c>
      <c r="I558" t="s">
        <v>77</v>
      </c>
      <c r="J558" s="1">
        <v>179</v>
      </c>
      <c r="K558" s="1" t="s">
        <v>28</v>
      </c>
      <c r="L558" s="1" t="s">
        <v>69</v>
      </c>
      <c r="M558" s="1">
        <v>7.8</v>
      </c>
      <c r="N558" s="1">
        <v>92.13</v>
      </c>
      <c r="O558" s="1">
        <v>94306000</v>
      </c>
      <c r="P558" t="s">
        <v>2282</v>
      </c>
    </row>
    <row r="559" spans="1:16" hidden="1" x14ac:dyDescent="0.3">
      <c r="A559" s="1" t="s">
        <v>1317</v>
      </c>
      <c r="B559" s="1" t="s">
        <v>37</v>
      </c>
      <c r="C559" s="1" t="s">
        <v>1318</v>
      </c>
      <c r="D559" s="1" t="s">
        <v>39</v>
      </c>
      <c r="E559" s="1" t="s">
        <v>344</v>
      </c>
      <c r="F559" s="1" t="s">
        <v>59</v>
      </c>
      <c r="G559" s="6">
        <v>44886</v>
      </c>
      <c r="H559" s="1">
        <v>1998</v>
      </c>
      <c r="I559" t="s">
        <v>34</v>
      </c>
      <c r="J559" s="1">
        <v>114</v>
      </c>
      <c r="K559" s="1" t="s">
        <v>28</v>
      </c>
      <c r="L559" s="1" t="s">
        <v>21</v>
      </c>
      <c r="M559" s="1">
        <v>8.6999999999999993</v>
      </c>
      <c r="N559" s="1">
        <v>109.58</v>
      </c>
      <c r="O559" s="1">
        <v>55178000</v>
      </c>
      <c r="P559" t="s">
        <v>2281</v>
      </c>
    </row>
    <row r="560" spans="1:16" x14ac:dyDescent="0.3">
      <c r="A560" s="1" t="s">
        <v>1319</v>
      </c>
      <c r="B560" s="1" t="s">
        <v>14</v>
      </c>
      <c r="C560" s="1" t="s">
        <v>1320</v>
      </c>
      <c r="D560" s="1" t="s">
        <v>62</v>
      </c>
      <c r="E560" s="1" t="s">
        <v>862</v>
      </c>
      <c r="F560" s="1" t="s">
        <v>158</v>
      </c>
      <c r="G560" s="6">
        <v>43153</v>
      </c>
      <c r="H560" s="1">
        <v>2011</v>
      </c>
      <c r="I560" t="s">
        <v>55</v>
      </c>
      <c r="J560" s="1">
        <v>4</v>
      </c>
      <c r="K560" s="1" t="s">
        <v>20</v>
      </c>
      <c r="L560" s="1" t="s">
        <v>69</v>
      </c>
      <c r="M560" s="1">
        <v>3.1</v>
      </c>
      <c r="N560" s="1">
        <v>31</v>
      </c>
      <c r="O560" s="1">
        <v>78107000</v>
      </c>
      <c r="P560" t="s">
        <v>2282</v>
      </c>
    </row>
    <row r="561" spans="1:16" x14ac:dyDescent="0.3">
      <c r="A561" s="1" t="s">
        <v>1321</v>
      </c>
      <c r="B561" s="1" t="s">
        <v>14</v>
      </c>
      <c r="C561" s="1" t="s">
        <v>1322</v>
      </c>
      <c r="D561" s="1" t="s">
        <v>31</v>
      </c>
      <c r="E561" s="1" t="s">
        <v>829</v>
      </c>
      <c r="F561" s="1" t="s">
        <v>51</v>
      </c>
      <c r="G561" s="6">
        <v>44041</v>
      </c>
      <c r="H561" s="1">
        <v>1991</v>
      </c>
      <c r="I561" t="s">
        <v>27</v>
      </c>
      <c r="J561" s="1">
        <v>1</v>
      </c>
      <c r="K561" s="1" t="s">
        <v>20</v>
      </c>
      <c r="L561" s="1" t="s">
        <v>52</v>
      </c>
      <c r="M561" s="1">
        <v>5</v>
      </c>
      <c r="N561" s="1">
        <v>112.77</v>
      </c>
      <c r="O561" s="1">
        <v>77732000</v>
      </c>
      <c r="P561" t="s">
        <v>2281</v>
      </c>
    </row>
    <row r="562" spans="1:16" hidden="1" x14ac:dyDescent="0.3">
      <c r="A562" s="1" t="s">
        <v>1323</v>
      </c>
      <c r="B562" s="1" t="s">
        <v>37</v>
      </c>
      <c r="C562" s="1" t="s">
        <v>1324</v>
      </c>
      <c r="D562" s="1" t="s">
        <v>16</v>
      </c>
      <c r="E562" s="1" t="s">
        <v>1325</v>
      </c>
      <c r="F562" s="1" t="s">
        <v>45</v>
      </c>
      <c r="G562" s="6">
        <v>43544</v>
      </c>
      <c r="H562" s="1">
        <v>2010</v>
      </c>
      <c r="I562" t="s">
        <v>34</v>
      </c>
      <c r="J562" s="1">
        <v>146</v>
      </c>
      <c r="K562" s="1" t="s">
        <v>28</v>
      </c>
      <c r="L562" s="1" t="s">
        <v>21</v>
      </c>
      <c r="M562" s="1">
        <v>9</v>
      </c>
      <c r="N562" s="1">
        <v>58.52</v>
      </c>
      <c r="O562" s="1">
        <v>83358000</v>
      </c>
      <c r="P562" t="s">
        <v>2281</v>
      </c>
    </row>
    <row r="563" spans="1:16" x14ac:dyDescent="0.3">
      <c r="A563" s="1" t="s">
        <v>1326</v>
      </c>
      <c r="B563" s="1" t="s">
        <v>14</v>
      </c>
      <c r="C563" s="1" t="s">
        <v>1327</v>
      </c>
      <c r="D563" s="1" t="s">
        <v>49</v>
      </c>
      <c r="E563" s="1" t="s">
        <v>83</v>
      </c>
      <c r="F563" s="1" t="s">
        <v>33</v>
      </c>
      <c r="G563" s="6">
        <v>44860</v>
      </c>
      <c r="H563" s="1">
        <v>2003</v>
      </c>
      <c r="I563" t="s">
        <v>55</v>
      </c>
      <c r="J563" s="1">
        <v>4</v>
      </c>
      <c r="K563" s="1" t="s">
        <v>20</v>
      </c>
      <c r="L563" s="1" t="s">
        <v>35</v>
      </c>
      <c r="M563" s="1">
        <v>3.4</v>
      </c>
      <c r="N563" s="1">
        <v>78.48</v>
      </c>
      <c r="O563" s="1">
        <v>46174000</v>
      </c>
      <c r="P563" t="s">
        <v>2281</v>
      </c>
    </row>
    <row r="564" spans="1:16" hidden="1" x14ac:dyDescent="0.3">
      <c r="A564" s="1" t="s">
        <v>1328</v>
      </c>
      <c r="B564" s="1" t="s">
        <v>37</v>
      </c>
      <c r="C564" s="1" t="s">
        <v>1329</v>
      </c>
      <c r="D564" s="1" t="s">
        <v>72</v>
      </c>
      <c r="E564" s="1" t="s">
        <v>400</v>
      </c>
      <c r="F564" s="1" t="s">
        <v>158</v>
      </c>
      <c r="G564" s="6">
        <v>44948</v>
      </c>
      <c r="H564" s="1">
        <v>2006</v>
      </c>
      <c r="I564" t="s">
        <v>27</v>
      </c>
      <c r="J564" s="1">
        <v>128</v>
      </c>
      <c r="K564" s="1" t="s">
        <v>28</v>
      </c>
      <c r="L564" s="1" t="s">
        <v>69</v>
      </c>
      <c r="M564" s="1">
        <v>9.3000000000000007</v>
      </c>
      <c r="N564" s="1">
        <v>64.5</v>
      </c>
      <c r="O564" s="1">
        <v>45626000</v>
      </c>
      <c r="P564" t="s">
        <v>2282</v>
      </c>
    </row>
    <row r="565" spans="1:16" x14ac:dyDescent="0.3">
      <c r="A565" s="1" t="s">
        <v>1330</v>
      </c>
      <c r="B565" s="1" t="s">
        <v>14</v>
      </c>
      <c r="C565" s="1" t="s">
        <v>1331</v>
      </c>
      <c r="D565" s="1" t="s">
        <v>72</v>
      </c>
      <c r="E565" s="1" t="s">
        <v>141</v>
      </c>
      <c r="F565" s="1" t="s">
        <v>45</v>
      </c>
      <c r="G565" s="6">
        <v>42833</v>
      </c>
      <c r="H565" s="1">
        <v>2023</v>
      </c>
      <c r="I565" t="s">
        <v>55</v>
      </c>
      <c r="J565" s="1">
        <v>3</v>
      </c>
      <c r="K565" s="1" t="s">
        <v>20</v>
      </c>
      <c r="L565" s="1" t="s">
        <v>21</v>
      </c>
      <c r="M565" s="1">
        <v>8.1</v>
      </c>
      <c r="N565" s="1">
        <v>149.81</v>
      </c>
      <c r="O565" s="1">
        <v>77911000</v>
      </c>
      <c r="P565" t="s">
        <v>2282</v>
      </c>
    </row>
    <row r="566" spans="1:16" hidden="1" x14ac:dyDescent="0.3">
      <c r="A566" s="1" t="s">
        <v>1332</v>
      </c>
      <c r="B566" s="1" t="s">
        <v>37</v>
      </c>
      <c r="C566" s="1" t="s">
        <v>1333</v>
      </c>
      <c r="D566" s="1" t="s">
        <v>49</v>
      </c>
      <c r="E566" s="1" t="s">
        <v>72</v>
      </c>
      <c r="F566" s="1" t="s">
        <v>76</v>
      </c>
      <c r="G566" s="6">
        <v>43746</v>
      </c>
      <c r="H566" s="1">
        <v>2019</v>
      </c>
      <c r="I566" t="s">
        <v>19</v>
      </c>
      <c r="J566" s="1">
        <v>166</v>
      </c>
      <c r="K566" s="1" t="s">
        <v>28</v>
      </c>
      <c r="L566" s="1" t="s">
        <v>21</v>
      </c>
      <c r="M566" s="1">
        <v>2.9</v>
      </c>
      <c r="N566" s="1">
        <v>0.13</v>
      </c>
      <c r="O566" s="1">
        <v>19502000</v>
      </c>
      <c r="P566" t="s">
        <v>2281</v>
      </c>
    </row>
    <row r="567" spans="1:16" hidden="1" x14ac:dyDescent="0.3">
      <c r="A567" s="1" t="s">
        <v>1334</v>
      </c>
      <c r="B567" s="1" t="s">
        <v>37</v>
      </c>
      <c r="C567" s="1" t="s">
        <v>1335</v>
      </c>
      <c r="D567" s="1" t="s">
        <v>31</v>
      </c>
      <c r="E567" s="1" t="s">
        <v>195</v>
      </c>
      <c r="F567" s="1" t="s">
        <v>158</v>
      </c>
      <c r="G567" s="6">
        <v>43266</v>
      </c>
      <c r="H567" s="1">
        <v>2006</v>
      </c>
      <c r="I567" t="s">
        <v>34</v>
      </c>
      <c r="J567" s="1">
        <v>146</v>
      </c>
      <c r="K567" s="1" t="s">
        <v>28</v>
      </c>
      <c r="L567" s="1" t="s">
        <v>41</v>
      </c>
      <c r="M567" s="1">
        <v>8.1999999999999993</v>
      </c>
      <c r="N567" s="1">
        <v>10.18</v>
      </c>
      <c r="O567" s="1">
        <v>63172000</v>
      </c>
      <c r="P567" t="s">
        <v>2281</v>
      </c>
    </row>
    <row r="568" spans="1:16" hidden="1" x14ac:dyDescent="0.3">
      <c r="A568" s="1" t="s">
        <v>1336</v>
      </c>
      <c r="B568" s="1" t="s">
        <v>37</v>
      </c>
      <c r="C568" s="1" t="s">
        <v>1337</v>
      </c>
      <c r="D568" s="1" t="s">
        <v>49</v>
      </c>
      <c r="E568" s="1" t="s">
        <v>50</v>
      </c>
      <c r="F568" s="1" t="s">
        <v>18</v>
      </c>
      <c r="G568" s="6">
        <v>43003</v>
      </c>
      <c r="H568" s="1">
        <v>1993</v>
      </c>
      <c r="I568" t="s">
        <v>34</v>
      </c>
      <c r="J568" s="1">
        <v>69</v>
      </c>
      <c r="K568" s="1" t="s">
        <v>28</v>
      </c>
      <c r="L568" s="1" t="s">
        <v>41</v>
      </c>
      <c r="M568" s="1">
        <v>2.2999999999999998</v>
      </c>
      <c r="N568" s="1">
        <v>108.55</v>
      </c>
      <c r="O568" s="1">
        <v>52616000</v>
      </c>
      <c r="P568" t="s">
        <v>2281</v>
      </c>
    </row>
    <row r="569" spans="1:16" x14ac:dyDescent="0.3">
      <c r="A569" s="1" t="s">
        <v>1338</v>
      </c>
      <c r="B569" s="1" t="s">
        <v>14</v>
      </c>
      <c r="C569" s="1" t="s">
        <v>1339</v>
      </c>
      <c r="D569" s="1" t="s">
        <v>39</v>
      </c>
      <c r="E569" s="1" t="s">
        <v>40</v>
      </c>
      <c r="F569" s="1" t="s">
        <v>33</v>
      </c>
      <c r="G569" s="6">
        <v>43061</v>
      </c>
      <c r="H569" s="1">
        <v>2002</v>
      </c>
      <c r="I569" t="s">
        <v>89</v>
      </c>
      <c r="J569" s="1">
        <v>9</v>
      </c>
      <c r="K569" s="1" t="s">
        <v>20</v>
      </c>
      <c r="L569" s="1" t="s">
        <v>46</v>
      </c>
      <c r="M569" s="1">
        <v>2.1</v>
      </c>
      <c r="N569" s="1">
        <v>105.78</v>
      </c>
      <c r="O569" s="1">
        <v>93527000</v>
      </c>
      <c r="P569" t="s">
        <v>2281</v>
      </c>
    </row>
    <row r="570" spans="1:16" x14ac:dyDescent="0.3">
      <c r="A570" s="1" t="s">
        <v>1340</v>
      </c>
      <c r="B570" s="1" t="s">
        <v>14</v>
      </c>
      <c r="C570" s="1" t="s">
        <v>1341</v>
      </c>
      <c r="D570" s="1" t="s">
        <v>31</v>
      </c>
      <c r="E570" s="1" t="s">
        <v>72</v>
      </c>
      <c r="F570" s="1" t="s">
        <v>51</v>
      </c>
      <c r="G570" s="6">
        <v>43212</v>
      </c>
      <c r="H570" s="1">
        <v>2015</v>
      </c>
      <c r="I570" t="s">
        <v>89</v>
      </c>
      <c r="J570" s="1">
        <v>4</v>
      </c>
      <c r="K570" s="1" t="s">
        <v>20</v>
      </c>
      <c r="L570" s="1" t="s">
        <v>41</v>
      </c>
      <c r="M570" s="1">
        <v>9.6999999999999993</v>
      </c>
      <c r="N570" s="1">
        <v>43.03</v>
      </c>
      <c r="O570" s="1">
        <v>52427000</v>
      </c>
      <c r="P570" t="s">
        <v>2282</v>
      </c>
    </row>
    <row r="571" spans="1:16" hidden="1" x14ac:dyDescent="0.3">
      <c r="A571" s="1" t="s">
        <v>1342</v>
      </c>
      <c r="B571" s="1" t="s">
        <v>37</v>
      </c>
      <c r="C571" s="1" t="s">
        <v>1343</v>
      </c>
      <c r="D571" s="1" t="s">
        <v>31</v>
      </c>
      <c r="E571" s="1" t="s">
        <v>1344</v>
      </c>
      <c r="F571" s="1" t="s">
        <v>45</v>
      </c>
      <c r="G571" s="6">
        <v>44397</v>
      </c>
      <c r="H571" s="1">
        <v>2011</v>
      </c>
      <c r="I571" t="s">
        <v>89</v>
      </c>
      <c r="J571" s="1">
        <v>117</v>
      </c>
      <c r="K571" s="1" t="s">
        <v>28</v>
      </c>
      <c r="L571" s="1" t="s">
        <v>35</v>
      </c>
      <c r="M571" s="1">
        <v>8.8000000000000007</v>
      </c>
      <c r="N571" s="1">
        <v>54.93</v>
      </c>
      <c r="O571" s="1">
        <v>12649000</v>
      </c>
      <c r="P571" t="s">
        <v>2282</v>
      </c>
    </row>
    <row r="572" spans="1:16" hidden="1" x14ac:dyDescent="0.3">
      <c r="A572" s="1" t="s">
        <v>1345</v>
      </c>
      <c r="B572" s="1" t="s">
        <v>37</v>
      </c>
      <c r="C572" s="1" t="s">
        <v>1346</v>
      </c>
      <c r="D572" s="1" t="s">
        <v>24</v>
      </c>
      <c r="E572" s="1" t="s">
        <v>249</v>
      </c>
      <c r="F572" s="1" t="s">
        <v>59</v>
      </c>
      <c r="G572" s="6">
        <v>44452</v>
      </c>
      <c r="H572" s="1">
        <v>2022</v>
      </c>
      <c r="I572" t="s">
        <v>77</v>
      </c>
      <c r="J572" s="1">
        <v>161</v>
      </c>
      <c r="K572" s="1" t="s">
        <v>28</v>
      </c>
      <c r="L572" s="1" t="s">
        <v>52</v>
      </c>
      <c r="M572" s="1">
        <v>2.5</v>
      </c>
      <c r="N572" s="1">
        <v>66.52</v>
      </c>
      <c r="O572" s="1">
        <v>2224000</v>
      </c>
      <c r="P572" t="s">
        <v>2282</v>
      </c>
    </row>
    <row r="573" spans="1:16" x14ac:dyDescent="0.3">
      <c r="A573" s="1" t="s">
        <v>1347</v>
      </c>
      <c r="B573" s="1" t="s">
        <v>14</v>
      </c>
      <c r="C573" s="1" t="s">
        <v>1348</v>
      </c>
      <c r="D573" s="1" t="s">
        <v>62</v>
      </c>
      <c r="E573" s="1" t="s">
        <v>255</v>
      </c>
      <c r="F573" s="1" t="s">
        <v>33</v>
      </c>
      <c r="G573" s="6">
        <v>43624</v>
      </c>
      <c r="H573" s="1">
        <v>2019</v>
      </c>
      <c r="I573" t="s">
        <v>89</v>
      </c>
      <c r="J573" s="1">
        <v>1</v>
      </c>
      <c r="K573" s="1" t="s">
        <v>20</v>
      </c>
      <c r="L573" s="1" t="s">
        <v>69</v>
      </c>
      <c r="M573" s="1">
        <v>8.3000000000000007</v>
      </c>
      <c r="N573" s="1">
        <v>86.37</v>
      </c>
      <c r="O573" s="1">
        <v>87463000</v>
      </c>
      <c r="P573" t="s">
        <v>2281</v>
      </c>
    </row>
    <row r="574" spans="1:16" x14ac:dyDescent="0.3">
      <c r="A574" s="1" t="s">
        <v>1349</v>
      </c>
      <c r="B574" s="1" t="s">
        <v>14</v>
      </c>
      <c r="C574" s="1" t="s">
        <v>1350</v>
      </c>
      <c r="D574" s="1" t="s">
        <v>62</v>
      </c>
      <c r="E574" s="1" t="s">
        <v>1021</v>
      </c>
      <c r="F574" s="1" t="s">
        <v>26</v>
      </c>
      <c r="G574" s="6">
        <v>44808</v>
      </c>
      <c r="H574" s="1">
        <v>2000</v>
      </c>
      <c r="I574" t="s">
        <v>89</v>
      </c>
      <c r="J574" s="1">
        <v>8</v>
      </c>
      <c r="K574" s="1" t="s">
        <v>20</v>
      </c>
      <c r="L574" s="1" t="s">
        <v>52</v>
      </c>
      <c r="M574" s="1">
        <v>6.1</v>
      </c>
      <c r="N574" s="1">
        <v>18.95</v>
      </c>
      <c r="O574" s="1">
        <v>71983000</v>
      </c>
      <c r="P574" t="s">
        <v>2281</v>
      </c>
    </row>
    <row r="575" spans="1:16" hidden="1" x14ac:dyDescent="0.3">
      <c r="A575" s="1" t="s">
        <v>1351</v>
      </c>
      <c r="B575" s="1" t="s">
        <v>37</v>
      </c>
      <c r="C575" s="1" t="s">
        <v>1352</v>
      </c>
      <c r="D575" s="1" t="s">
        <v>72</v>
      </c>
      <c r="E575" s="1" t="s">
        <v>32</v>
      </c>
      <c r="F575" s="1" t="s">
        <v>26</v>
      </c>
      <c r="G575" s="6">
        <v>45150</v>
      </c>
      <c r="H575" s="1">
        <v>2006</v>
      </c>
      <c r="I575" t="s">
        <v>89</v>
      </c>
      <c r="J575" s="1">
        <v>93</v>
      </c>
      <c r="K575" s="1" t="s">
        <v>28</v>
      </c>
      <c r="L575" s="1" t="s">
        <v>21</v>
      </c>
      <c r="M575" s="1">
        <v>1.7</v>
      </c>
      <c r="N575" s="1">
        <v>18.57</v>
      </c>
      <c r="O575" s="1">
        <v>31935000</v>
      </c>
      <c r="P575" t="s">
        <v>2282</v>
      </c>
    </row>
    <row r="576" spans="1:16" hidden="1" x14ac:dyDescent="0.3">
      <c r="A576" s="1" t="s">
        <v>1353</v>
      </c>
      <c r="B576" s="1" t="s">
        <v>37</v>
      </c>
      <c r="C576" s="1" t="s">
        <v>1354</v>
      </c>
      <c r="D576" s="1" t="s">
        <v>49</v>
      </c>
      <c r="E576" s="1" t="s">
        <v>414</v>
      </c>
      <c r="F576" s="1" t="s">
        <v>51</v>
      </c>
      <c r="G576" s="6">
        <v>44890</v>
      </c>
      <c r="H576" s="1">
        <v>1996</v>
      </c>
      <c r="I576" t="s">
        <v>19</v>
      </c>
      <c r="J576" s="1">
        <v>137</v>
      </c>
      <c r="K576" s="1" t="s">
        <v>28</v>
      </c>
      <c r="L576" s="1" t="s">
        <v>35</v>
      </c>
      <c r="M576" s="1">
        <v>9.6</v>
      </c>
      <c r="N576" s="1">
        <v>99.31</v>
      </c>
      <c r="O576" s="1">
        <v>26790000</v>
      </c>
      <c r="P576" t="s">
        <v>2282</v>
      </c>
    </row>
    <row r="577" spans="1:16" x14ac:dyDescent="0.3">
      <c r="A577" s="1" t="s">
        <v>1355</v>
      </c>
      <c r="B577" s="1" t="s">
        <v>14</v>
      </c>
      <c r="C577" s="1" t="s">
        <v>1356</v>
      </c>
      <c r="D577" s="1" t="s">
        <v>62</v>
      </c>
      <c r="E577" s="1" t="s">
        <v>484</v>
      </c>
      <c r="F577" s="1" t="s">
        <v>51</v>
      </c>
      <c r="G577" s="6">
        <v>44884</v>
      </c>
      <c r="H577" s="1">
        <v>1994</v>
      </c>
      <c r="I577" t="s">
        <v>55</v>
      </c>
      <c r="J577" s="1">
        <v>4</v>
      </c>
      <c r="K577" s="1" t="s">
        <v>20</v>
      </c>
      <c r="L577" s="1" t="s">
        <v>46</v>
      </c>
      <c r="M577" s="1">
        <v>1.4</v>
      </c>
      <c r="N577" s="1">
        <v>129.47999999999999</v>
      </c>
      <c r="O577" s="1">
        <v>99740000</v>
      </c>
      <c r="P577" t="s">
        <v>2281</v>
      </c>
    </row>
    <row r="578" spans="1:16" x14ac:dyDescent="0.3">
      <c r="A578" s="1" t="s">
        <v>1357</v>
      </c>
      <c r="B578" s="1" t="s">
        <v>14</v>
      </c>
      <c r="C578" s="1" t="s">
        <v>1358</v>
      </c>
      <c r="D578" s="1" t="s">
        <v>39</v>
      </c>
      <c r="E578" s="1" t="s">
        <v>72</v>
      </c>
      <c r="F578" s="1" t="s">
        <v>51</v>
      </c>
      <c r="G578" s="6">
        <v>42374</v>
      </c>
      <c r="H578" s="1">
        <v>1994</v>
      </c>
      <c r="I578" t="s">
        <v>77</v>
      </c>
      <c r="J578" s="1">
        <v>6</v>
      </c>
      <c r="K578" s="1" t="s">
        <v>20</v>
      </c>
      <c r="L578" s="1" t="s">
        <v>46</v>
      </c>
      <c r="M578" s="1">
        <v>8.6999999999999993</v>
      </c>
      <c r="N578" s="1">
        <v>61.81</v>
      </c>
      <c r="O578" s="1">
        <v>58498000</v>
      </c>
      <c r="P578" t="s">
        <v>2282</v>
      </c>
    </row>
    <row r="579" spans="1:16" hidden="1" x14ac:dyDescent="0.3">
      <c r="A579" s="1" t="s">
        <v>1359</v>
      </c>
      <c r="B579" s="1" t="s">
        <v>37</v>
      </c>
      <c r="C579" s="1" t="s">
        <v>1360</v>
      </c>
      <c r="D579" s="1" t="s">
        <v>16</v>
      </c>
      <c r="E579" s="1" t="s">
        <v>1361</v>
      </c>
      <c r="F579" s="1" t="s">
        <v>45</v>
      </c>
      <c r="G579" s="6">
        <v>43051</v>
      </c>
      <c r="H579" s="1">
        <v>2015</v>
      </c>
      <c r="I579" t="s">
        <v>55</v>
      </c>
      <c r="J579" s="1">
        <v>94</v>
      </c>
      <c r="K579" s="1" t="s">
        <v>28</v>
      </c>
      <c r="L579" s="1" t="s">
        <v>46</v>
      </c>
      <c r="M579" s="1">
        <v>1.9</v>
      </c>
      <c r="N579" s="1">
        <v>54.24</v>
      </c>
      <c r="O579" s="1">
        <v>7645000</v>
      </c>
      <c r="P579" t="s">
        <v>2282</v>
      </c>
    </row>
    <row r="580" spans="1:16" hidden="1" x14ac:dyDescent="0.3">
      <c r="A580" s="1" t="s">
        <v>1362</v>
      </c>
      <c r="B580" s="1" t="s">
        <v>37</v>
      </c>
      <c r="C580" s="1" t="s">
        <v>1363</v>
      </c>
      <c r="D580" s="1" t="s">
        <v>39</v>
      </c>
      <c r="E580" s="1" t="s">
        <v>92</v>
      </c>
      <c r="F580" s="1" t="s">
        <v>59</v>
      </c>
      <c r="G580" s="6">
        <v>45109</v>
      </c>
      <c r="H580" s="1">
        <v>2000</v>
      </c>
      <c r="I580" t="s">
        <v>77</v>
      </c>
      <c r="J580" s="1">
        <v>161</v>
      </c>
      <c r="K580" s="1" t="s">
        <v>28</v>
      </c>
      <c r="L580" s="1" t="s">
        <v>21</v>
      </c>
      <c r="M580" s="1">
        <v>9.3000000000000007</v>
      </c>
      <c r="N580" s="1">
        <v>144.03</v>
      </c>
      <c r="O580" s="1">
        <v>66687000</v>
      </c>
      <c r="P580" t="s">
        <v>2281</v>
      </c>
    </row>
    <row r="581" spans="1:16" x14ac:dyDescent="0.3">
      <c r="A581" s="1" t="s">
        <v>1364</v>
      </c>
      <c r="B581" s="1" t="s">
        <v>14</v>
      </c>
      <c r="C581" s="1" t="s">
        <v>1365</v>
      </c>
      <c r="D581" s="1" t="s">
        <v>16</v>
      </c>
      <c r="E581" s="1" t="s">
        <v>40</v>
      </c>
      <c r="F581" s="1" t="s">
        <v>26</v>
      </c>
      <c r="G581" s="6">
        <v>43358</v>
      </c>
      <c r="H581" s="1">
        <v>2007</v>
      </c>
      <c r="I581" t="s">
        <v>89</v>
      </c>
      <c r="J581" s="1">
        <v>2</v>
      </c>
      <c r="K581" s="1" t="s">
        <v>20</v>
      </c>
      <c r="L581" s="1" t="s">
        <v>35</v>
      </c>
      <c r="M581" s="1">
        <v>1.3</v>
      </c>
      <c r="N581" s="1">
        <v>25.81</v>
      </c>
      <c r="O581" s="1">
        <v>24530000</v>
      </c>
      <c r="P581" t="s">
        <v>2281</v>
      </c>
    </row>
    <row r="582" spans="1:16" x14ac:dyDescent="0.3">
      <c r="A582" s="1" t="s">
        <v>1366</v>
      </c>
      <c r="B582" s="1" t="s">
        <v>14</v>
      </c>
      <c r="C582" s="1" t="s">
        <v>1367</v>
      </c>
      <c r="D582" s="1" t="s">
        <v>72</v>
      </c>
      <c r="E582" s="1" t="s">
        <v>1368</v>
      </c>
      <c r="F582" s="1" t="s">
        <v>158</v>
      </c>
      <c r="G582" s="6">
        <v>45055</v>
      </c>
      <c r="H582" s="1">
        <v>2001</v>
      </c>
      <c r="I582" t="s">
        <v>77</v>
      </c>
      <c r="J582" s="1">
        <v>8</v>
      </c>
      <c r="K582" s="1" t="s">
        <v>20</v>
      </c>
      <c r="L582" s="1" t="s">
        <v>41</v>
      </c>
      <c r="M582" s="1">
        <v>9.8000000000000007</v>
      </c>
      <c r="N582" s="1">
        <v>66.489999999999995</v>
      </c>
      <c r="O582" s="1">
        <v>35594000</v>
      </c>
      <c r="P582" t="s">
        <v>2281</v>
      </c>
    </row>
    <row r="583" spans="1:16" hidden="1" x14ac:dyDescent="0.3">
      <c r="A583" s="1" t="s">
        <v>1369</v>
      </c>
      <c r="B583" s="1" t="s">
        <v>37</v>
      </c>
      <c r="C583" s="1" t="s">
        <v>1370</v>
      </c>
      <c r="D583" s="1" t="s">
        <v>31</v>
      </c>
      <c r="E583" s="1" t="s">
        <v>141</v>
      </c>
      <c r="F583" s="1" t="s">
        <v>45</v>
      </c>
      <c r="G583" s="6">
        <v>44738</v>
      </c>
      <c r="H583" s="1">
        <v>1993</v>
      </c>
      <c r="I583" t="s">
        <v>77</v>
      </c>
      <c r="J583" s="1">
        <v>149</v>
      </c>
      <c r="K583" s="1" t="s">
        <v>28</v>
      </c>
      <c r="L583" s="1" t="s">
        <v>21</v>
      </c>
      <c r="M583" s="1">
        <v>6.6</v>
      </c>
      <c r="N583" s="1">
        <v>4.22</v>
      </c>
      <c r="O583" s="1">
        <v>54827000</v>
      </c>
      <c r="P583" t="s">
        <v>2282</v>
      </c>
    </row>
    <row r="584" spans="1:16" hidden="1" x14ac:dyDescent="0.3">
      <c r="A584" s="1" t="s">
        <v>1371</v>
      </c>
      <c r="B584" s="1" t="s">
        <v>37</v>
      </c>
      <c r="C584" s="1" t="s">
        <v>1372</v>
      </c>
      <c r="D584" s="1" t="s">
        <v>39</v>
      </c>
      <c r="E584" s="1" t="s">
        <v>1373</v>
      </c>
      <c r="F584" s="1" t="s">
        <v>158</v>
      </c>
      <c r="G584" s="6">
        <v>43794</v>
      </c>
      <c r="H584" s="1">
        <v>2007</v>
      </c>
      <c r="I584" t="s">
        <v>77</v>
      </c>
      <c r="J584" s="1">
        <v>172</v>
      </c>
      <c r="K584" s="1" t="s">
        <v>28</v>
      </c>
      <c r="L584" s="1" t="s">
        <v>52</v>
      </c>
      <c r="M584" s="1">
        <v>6.3</v>
      </c>
      <c r="N584" s="1">
        <v>17.84</v>
      </c>
      <c r="O584" s="1">
        <v>62347000</v>
      </c>
      <c r="P584" t="s">
        <v>2282</v>
      </c>
    </row>
    <row r="585" spans="1:16" x14ac:dyDescent="0.3">
      <c r="A585" s="1" t="s">
        <v>1374</v>
      </c>
      <c r="B585" s="1" t="s">
        <v>14</v>
      </c>
      <c r="C585" s="1" t="s">
        <v>1375</v>
      </c>
      <c r="D585" s="1" t="s">
        <v>49</v>
      </c>
      <c r="E585" s="1" t="s">
        <v>1376</v>
      </c>
      <c r="F585" s="1" t="s">
        <v>18</v>
      </c>
      <c r="G585" s="6">
        <v>44833</v>
      </c>
      <c r="H585" s="1">
        <v>2018</v>
      </c>
      <c r="I585" t="s">
        <v>89</v>
      </c>
      <c r="J585" s="1">
        <v>3</v>
      </c>
      <c r="K585" s="1" t="s">
        <v>20</v>
      </c>
      <c r="L585" s="1" t="s">
        <v>41</v>
      </c>
      <c r="M585" s="1">
        <v>4.0999999999999996</v>
      </c>
      <c r="N585" s="1">
        <v>132.91</v>
      </c>
      <c r="O585" s="1">
        <v>1164000</v>
      </c>
      <c r="P585" t="s">
        <v>2281</v>
      </c>
    </row>
    <row r="586" spans="1:16" x14ac:dyDescent="0.3">
      <c r="A586" s="1" t="s">
        <v>1377</v>
      </c>
      <c r="B586" s="1" t="s">
        <v>14</v>
      </c>
      <c r="C586" s="1" t="s">
        <v>1378</v>
      </c>
      <c r="D586" s="1" t="s">
        <v>49</v>
      </c>
      <c r="E586" s="1" t="s">
        <v>169</v>
      </c>
      <c r="F586" s="1" t="s">
        <v>51</v>
      </c>
      <c r="G586" s="6">
        <v>44227</v>
      </c>
      <c r="H586" s="1">
        <v>2023</v>
      </c>
      <c r="I586" t="s">
        <v>77</v>
      </c>
      <c r="J586" s="1">
        <v>5</v>
      </c>
      <c r="K586" s="1" t="s">
        <v>20</v>
      </c>
      <c r="L586" s="1" t="s">
        <v>69</v>
      </c>
      <c r="M586" s="1">
        <v>4.3</v>
      </c>
      <c r="N586" s="1">
        <v>145.11000000000001</v>
      </c>
      <c r="O586" s="1">
        <v>35644000</v>
      </c>
      <c r="P586" t="s">
        <v>2282</v>
      </c>
    </row>
    <row r="587" spans="1:16" hidden="1" x14ac:dyDescent="0.3">
      <c r="A587" s="1" t="s">
        <v>1379</v>
      </c>
      <c r="B587" s="1" t="s">
        <v>37</v>
      </c>
      <c r="C587" s="1" t="s">
        <v>1380</v>
      </c>
      <c r="D587" s="1" t="s">
        <v>39</v>
      </c>
      <c r="E587" s="1" t="s">
        <v>50</v>
      </c>
      <c r="F587" s="1" t="s">
        <v>76</v>
      </c>
      <c r="G587" s="6">
        <v>43598</v>
      </c>
      <c r="H587" s="1">
        <v>1990</v>
      </c>
      <c r="I587" t="s">
        <v>19</v>
      </c>
      <c r="J587" s="1">
        <v>92</v>
      </c>
      <c r="K587" s="1" t="s">
        <v>28</v>
      </c>
      <c r="L587" s="1" t="s">
        <v>46</v>
      </c>
      <c r="M587" s="1">
        <v>8.3000000000000007</v>
      </c>
      <c r="N587" s="1">
        <v>147.26</v>
      </c>
      <c r="O587" s="1">
        <v>90341000</v>
      </c>
      <c r="P587" t="s">
        <v>2282</v>
      </c>
    </row>
    <row r="588" spans="1:16" x14ac:dyDescent="0.3">
      <c r="A588" s="1" t="s">
        <v>1381</v>
      </c>
      <c r="B588" s="1" t="s">
        <v>14</v>
      </c>
      <c r="C588" s="1" t="s">
        <v>1382</v>
      </c>
      <c r="D588" s="1" t="s">
        <v>49</v>
      </c>
      <c r="E588" s="1" t="s">
        <v>111</v>
      </c>
      <c r="F588" s="1" t="s">
        <v>33</v>
      </c>
      <c r="G588" s="6">
        <v>44860</v>
      </c>
      <c r="H588" s="1">
        <v>2015</v>
      </c>
      <c r="I588" t="s">
        <v>55</v>
      </c>
      <c r="J588" s="1">
        <v>9</v>
      </c>
      <c r="K588" s="1" t="s">
        <v>20</v>
      </c>
      <c r="L588" s="1" t="s">
        <v>46</v>
      </c>
      <c r="M588" s="1">
        <v>7.7</v>
      </c>
      <c r="N588" s="1">
        <v>26.16</v>
      </c>
      <c r="O588" s="1">
        <v>96713000</v>
      </c>
      <c r="P588" t="s">
        <v>2282</v>
      </c>
    </row>
    <row r="589" spans="1:16" hidden="1" x14ac:dyDescent="0.3">
      <c r="A589" s="1" t="s">
        <v>1383</v>
      </c>
      <c r="B589" s="1" t="s">
        <v>37</v>
      </c>
      <c r="C589" s="1" t="s">
        <v>1384</v>
      </c>
      <c r="D589" s="1" t="s">
        <v>72</v>
      </c>
      <c r="E589" s="1" t="s">
        <v>72</v>
      </c>
      <c r="F589" s="1" t="s">
        <v>18</v>
      </c>
      <c r="G589" s="6">
        <v>42640</v>
      </c>
      <c r="H589" s="1">
        <v>1991</v>
      </c>
      <c r="I589" t="s">
        <v>19</v>
      </c>
      <c r="J589" s="1">
        <v>141</v>
      </c>
      <c r="K589" s="1" t="s">
        <v>28</v>
      </c>
      <c r="L589" s="1" t="s">
        <v>21</v>
      </c>
      <c r="M589" s="1">
        <v>2.1</v>
      </c>
      <c r="N589" s="1">
        <v>120.39</v>
      </c>
      <c r="O589" s="1">
        <v>91341000</v>
      </c>
      <c r="P589" t="s">
        <v>2281</v>
      </c>
    </row>
    <row r="590" spans="1:16" hidden="1" x14ac:dyDescent="0.3">
      <c r="A590" s="1" t="s">
        <v>1385</v>
      </c>
      <c r="B590" s="1" t="s">
        <v>37</v>
      </c>
      <c r="C590" s="1" t="s">
        <v>1386</v>
      </c>
      <c r="D590" s="1" t="s">
        <v>72</v>
      </c>
      <c r="E590" s="1" t="s">
        <v>72</v>
      </c>
      <c r="F590" s="1" t="s">
        <v>158</v>
      </c>
      <c r="G590" s="6">
        <v>42013</v>
      </c>
      <c r="H590" s="1">
        <v>2004</v>
      </c>
      <c r="I590" t="s">
        <v>89</v>
      </c>
      <c r="J590" s="1">
        <v>136</v>
      </c>
      <c r="K590" s="1" t="s">
        <v>28</v>
      </c>
      <c r="L590" s="1" t="s">
        <v>69</v>
      </c>
      <c r="M590" s="1">
        <v>9.1</v>
      </c>
      <c r="N590" s="1">
        <v>132.13</v>
      </c>
      <c r="O590" s="1">
        <v>93299000</v>
      </c>
      <c r="P590" t="s">
        <v>2282</v>
      </c>
    </row>
    <row r="591" spans="1:16" hidden="1" x14ac:dyDescent="0.3">
      <c r="A591" s="1" t="s">
        <v>1387</v>
      </c>
      <c r="B591" s="1" t="s">
        <v>37</v>
      </c>
      <c r="C591" s="1" t="s">
        <v>1388</v>
      </c>
      <c r="D591" s="1" t="s">
        <v>62</v>
      </c>
      <c r="E591" s="1" t="s">
        <v>123</v>
      </c>
      <c r="F591" s="1" t="s">
        <v>158</v>
      </c>
      <c r="G591" s="6">
        <v>43671</v>
      </c>
      <c r="H591" s="1">
        <v>2004</v>
      </c>
      <c r="I591" t="s">
        <v>77</v>
      </c>
      <c r="J591" s="1">
        <v>79</v>
      </c>
      <c r="K591" s="1" t="s">
        <v>28</v>
      </c>
      <c r="L591" s="1" t="s">
        <v>35</v>
      </c>
      <c r="M591" s="1">
        <v>9.9</v>
      </c>
      <c r="N591" s="1">
        <v>125.98</v>
      </c>
      <c r="O591" s="1">
        <v>8285000</v>
      </c>
      <c r="P591" t="s">
        <v>2281</v>
      </c>
    </row>
    <row r="592" spans="1:16" hidden="1" x14ac:dyDescent="0.3">
      <c r="A592" s="1" t="s">
        <v>1389</v>
      </c>
      <c r="B592" s="1" t="s">
        <v>37</v>
      </c>
      <c r="C592" s="1" t="s">
        <v>1390</v>
      </c>
      <c r="D592" s="1" t="s">
        <v>62</v>
      </c>
      <c r="E592" s="1" t="s">
        <v>75</v>
      </c>
      <c r="F592" s="1" t="s">
        <v>26</v>
      </c>
      <c r="G592" s="6">
        <v>42148</v>
      </c>
      <c r="H592" s="1">
        <v>1999</v>
      </c>
      <c r="I592" t="s">
        <v>77</v>
      </c>
      <c r="J592" s="1">
        <v>73</v>
      </c>
      <c r="K592" s="1" t="s">
        <v>28</v>
      </c>
      <c r="L592" s="1" t="s">
        <v>21</v>
      </c>
      <c r="M592" s="1">
        <v>4.3</v>
      </c>
      <c r="N592" s="1">
        <v>44.53</v>
      </c>
      <c r="O592" s="1">
        <v>99903000</v>
      </c>
      <c r="P592" t="s">
        <v>2282</v>
      </c>
    </row>
    <row r="593" spans="1:16" x14ac:dyDescent="0.3">
      <c r="A593" s="1" t="s">
        <v>1391</v>
      </c>
      <c r="B593" s="1" t="s">
        <v>14</v>
      </c>
      <c r="C593" s="1" t="s">
        <v>1392</v>
      </c>
      <c r="D593" s="1" t="s">
        <v>16</v>
      </c>
      <c r="E593" s="1" t="s">
        <v>63</v>
      </c>
      <c r="F593" s="1" t="s">
        <v>158</v>
      </c>
      <c r="G593" s="6">
        <v>43240</v>
      </c>
      <c r="H593" s="1">
        <v>2015</v>
      </c>
      <c r="I593" t="s">
        <v>19</v>
      </c>
      <c r="J593" s="1">
        <v>2</v>
      </c>
      <c r="K593" s="1" t="s">
        <v>20</v>
      </c>
      <c r="L593" s="1" t="s">
        <v>46</v>
      </c>
      <c r="M593" s="1">
        <v>3.4</v>
      </c>
      <c r="N593" s="1">
        <v>123.97</v>
      </c>
      <c r="O593" s="1">
        <v>40241000</v>
      </c>
      <c r="P593" t="s">
        <v>2282</v>
      </c>
    </row>
    <row r="594" spans="1:16" hidden="1" x14ac:dyDescent="0.3">
      <c r="A594" s="1" t="s">
        <v>1393</v>
      </c>
      <c r="B594" s="1" t="s">
        <v>37</v>
      </c>
      <c r="C594" s="1" t="s">
        <v>1394</v>
      </c>
      <c r="D594" s="1" t="s">
        <v>62</v>
      </c>
      <c r="E594" s="1" t="s">
        <v>123</v>
      </c>
      <c r="F594" s="1" t="s">
        <v>33</v>
      </c>
      <c r="G594" s="6">
        <v>43725</v>
      </c>
      <c r="H594" s="1">
        <v>1994</v>
      </c>
      <c r="I594" t="s">
        <v>55</v>
      </c>
      <c r="J594" s="1">
        <v>124</v>
      </c>
      <c r="K594" s="1" t="s">
        <v>28</v>
      </c>
      <c r="L594" s="1" t="s">
        <v>21</v>
      </c>
      <c r="M594" s="1">
        <v>1.6</v>
      </c>
      <c r="N594" s="1">
        <v>23.73</v>
      </c>
      <c r="O594" s="1">
        <v>35438000</v>
      </c>
      <c r="P594" t="s">
        <v>2281</v>
      </c>
    </row>
    <row r="595" spans="1:16" x14ac:dyDescent="0.3">
      <c r="A595" s="1" t="s">
        <v>1395</v>
      </c>
      <c r="B595" s="1" t="s">
        <v>14</v>
      </c>
      <c r="C595" s="1" t="s">
        <v>1396</v>
      </c>
      <c r="D595" s="1" t="s">
        <v>31</v>
      </c>
      <c r="E595" s="1" t="s">
        <v>1397</v>
      </c>
      <c r="F595" s="1" t="s">
        <v>26</v>
      </c>
      <c r="G595" s="6">
        <v>43998</v>
      </c>
      <c r="H595" s="1">
        <v>1993</v>
      </c>
      <c r="I595" t="s">
        <v>55</v>
      </c>
      <c r="J595" s="1">
        <v>5</v>
      </c>
      <c r="K595" s="1" t="s">
        <v>20</v>
      </c>
      <c r="L595" s="1" t="s">
        <v>46</v>
      </c>
      <c r="M595" s="1">
        <v>1.4</v>
      </c>
      <c r="N595" s="1">
        <v>99.08</v>
      </c>
      <c r="O595" s="1">
        <v>81192000</v>
      </c>
      <c r="P595" t="s">
        <v>2282</v>
      </c>
    </row>
    <row r="596" spans="1:16" x14ac:dyDescent="0.3">
      <c r="A596" s="1" t="s">
        <v>1398</v>
      </c>
      <c r="B596" s="1" t="s">
        <v>14</v>
      </c>
      <c r="C596" s="1" t="s">
        <v>1399</v>
      </c>
      <c r="D596" s="1" t="s">
        <v>16</v>
      </c>
      <c r="E596" s="1" t="s">
        <v>668</v>
      </c>
      <c r="F596" s="1" t="s">
        <v>26</v>
      </c>
      <c r="G596" s="6">
        <v>44679</v>
      </c>
      <c r="H596" s="1">
        <v>2022</v>
      </c>
      <c r="I596" t="s">
        <v>89</v>
      </c>
      <c r="J596" s="1">
        <v>1</v>
      </c>
      <c r="K596" s="1" t="s">
        <v>20</v>
      </c>
      <c r="L596" s="1" t="s">
        <v>35</v>
      </c>
      <c r="M596" s="1">
        <v>5.9</v>
      </c>
      <c r="N596" s="1">
        <v>134.4</v>
      </c>
      <c r="O596" s="1">
        <v>66422000</v>
      </c>
      <c r="P596" t="s">
        <v>2281</v>
      </c>
    </row>
    <row r="597" spans="1:16" hidden="1" x14ac:dyDescent="0.3">
      <c r="A597" s="1" t="s">
        <v>1400</v>
      </c>
      <c r="B597" s="1" t="s">
        <v>37</v>
      </c>
      <c r="C597" s="1" t="s">
        <v>1401</v>
      </c>
      <c r="D597" s="1" t="s">
        <v>31</v>
      </c>
      <c r="E597" s="1" t="s">
        <v>1402</v>
      </c>
      <c r="F597" s="1" t="s">
        <v>45</v>
      </c>
      <c r="G597" s="6">
        <v>45026</v>
      </c>
      <c r="H597" s="1">
        <v>1998</v>
      </c>
      <c r="I597" t="s">
        <v>77</v>
      </c>
      <c r="J597" s="1">
        <v>70</v>
      </c>
      <c r="K597" s="1" t="s">
        <v>28</v>
      </c>
      <c r="L597" s="1" t="s">
        <v>52</v>
      </c>
      <c r="M597" s="1">
        <v>9.1999999999999993</v>
      </c>
      <c r="N597" s="1">
        <v>22.94</v>
      </c>
      <c r="O597" s="1">
        <v>92110000</v>
      </c>
      <c r="P597" t="s">
        <v>2281</v>
      </c>
    </row>
    <row r="598" spans="1:16" x14ac:dyDescent="0.3">
      <c r="A598" s="1" t="s">
        <v>1403</v>
      </c>
      <c r="B598" s="1" t="s">
        <v>14</v>
      </c>
      <c r="C598" s="1" t="s">
        <v>1404</v>
      </c>
      <c r="D598" s="1" t="s">
        <v>24</v>
      </c>
      <c r="E598" s="1" t="s">
        <v>72</v>
      </c>
      <c r="F598" s="1" t="s">
        <v>51</v>
      </c>
      <c r="G598" s="6">
        <v>43244</v>
      </c>
      <c r="H598" s="1">
        <v>1991</v>
      </c>
      <c r="I598" t="s">
        <v>89</v>
      </c>
      <c r="J598" s="1">
        <v>6</v>
      </c>
      <c r="K598" s="1" t="s">
        <v>20</v>
      </c>
      <c r="L598" s="1" t="s">
        <v>69</v>
      </c>
      <c r="M598" s="1">
        <v>4.0999999999999996</v>
      </c>
      <c r="N598" s="1">
        <v>30</v>
      </c>
      <c r="O598" s="1">
        <v>57480000</v>
      </c>
      <c r="P598" t="s">
        <v>2281</v>
      </c>
    </row>
    <row r="599" spans="1:16" x14ac:dyDescent="0.3">
      <c r="A599" s="1" t="s">
        <v>1405</v>
      </c>
      <c r="B599" s="1" t="s">
        <v>14</v>
      </c>
      <c r="C599" s="1" t="s">
        <v>1406</v>
      </c>
      <c r="D599" s="1" t="s">
        <v>31</v>
      </c>
      <c r="E599" s="1" t="s">
        <v>222</v>
      </c>
      <c r="F599" s="1" t="s">
        <v>33</v>
      </c>
      <c r="G599" s="6">
        <v>43100</v>
      </c>
      <c r="H599" s="1">
        <v>1999</v>
      </c>
      <c r="I599" t="s">
        <v>55</v>
      </c>
      <c r="J599" s="1">
        <v>6</v>
      </c>
      <c r="K599" s="1" t="s">
        <v>20</v>
      </c>
      <c r="L599" s="1" t="s">
        <v>41</v>
      </c>
      <c r="M599" s="1">
        <v>8.1999999999999993</v>
      </c>
      <c r="N599" s="1">
        <v>81.819999999999993</v>
      </c>
      <c r="O599" s="1">
        <v>7644000</v>
      </c>
      <c r="P599" t="s">
        <v>2281</v>
      </c>
    </row>
    <row r="600" spans="1:16" x14ac:dyDescent="0.3">
      <c r="A600" s="1" t="s">
        <v>1407</v>
      </c>
      <c r="B600" s="1" t="s">
        <v>14</v>
      </c>
      <c r="C600" s="1" t="s">
        <v>1408</v>
      </c>
      <c r="D600" s="1" t="s">
        <v>24</v>
      </c>
      <c r="E600" s="1" t="s">
        <v>141</v>
      </c>
      <c r="F600" s="1" t="s">
        <v>45</v>
      </c>
      <c r="G600" s="6">
        <v>44302</v>
      </c>
      <c r="H600" s="1">
        <v>1990</v>
      </c>
      <c r="I600" t="s">
        <v>55</v>
      </c>
      <c r="J600" s="1">
        <v>8</v>
      </c>
      <c r="K600" s="1" t="s">
        <v>20</v>
      </c>
      <c r="L600" s="1" t="s">
        <v>35</v>
      </c>
      <c r="M600" s="1">
        <v>4.4000000000000004</v>
      </c>
      <c r="N600" s="1">
        <v>45.36</v>
      </c>
      <c r="O600" s="1">
        <v>97893000</v>
      </c>
      <c r="P600" t="s">
        <v>2281</v>
      </c>
    </row>
    <row r="601" spans="1:16" hidden="1" x14ac:dyDescent="0.3">
      <c r="A601" s="1" t="s">
        <v>1409</v>
      </c>
      <c r="B601" s="1" t="s">
        <v>37</v>
      </c>
      <c r="C601" s="1" t="s">
        <v>1410</v>
      </c>
      <c r="D601" s="1" t="s">
        <v>24</v>
      </c>
      <c r="E601" s="1" t="s">
        <v>75</v>
      </c>
      <c r="F601" s="1" t="s">
        <v>158</v>
      </c>
      <c r="G601" s="6">
        <v>44742</v>
      </c>
      <c r="H601" s="1">
        <v>1995</v>
      </c>
      <c r="I601" t="s">
        <v>34</v>
      </c>
      <c r="J601" s="1">
        <v>115</v>
      </c>
      <c r="K601" s="1" t="s">
        <v>28</v>
      </c>
      <c r="L601" s="1" t="s">
        <v>35</v>
      </c>
      <c r="M601" s="1">
        <v>9.5</v>
      </c>
      <c r="N601" s="1">
        <v>85.46</v>
      </c>
      <c r="O601" s="1">
        <v>54722000</v>
      </c>
      <c r="P601" t="s">
        <v>2281</v>
      </c>
    </row>
    <row r="602" spans="1:16" hidden="1" x14ac:dyDescent="0.3">
      <c r="A602" s="1" t="s">
        <v>1411</v>
      </c>
      <c r="B602" s="1" t="s">
        <v>37</v>
      </c>
      <c r="C602" s="1" t="s">
        <v>1412</v>
      </c>
      <c r="D602" s="1" t="s">
        <v>62</v>
      </c>
      <c r="E602" s="1" t="s">
        <v>123</v>
      </c>
      <c r="F602" s="1" t="s">
        <v>158</v>
      </c>
      <c r="G602" s="6">
        <v>43952</v>
      </c>
      <c r="H602" s="1">
        <v>2014</v>
      </c>
      <c r="I602" t="s">
        <v>89</v>
      </c>
      <c r="J602" s="1">
        <v>125</v>
      </c>
      <c r="K602" s="1" t="s">
        <v>28</v>
      </c>
      <c r="L602" s="1" t="s">
        <v>35</v>
      </c>
      <c r="M602" s="1">
        <v>6.1</v>
      </c>
      <c r="N602" s="1">
        <v>123.13</v>
      </c>
      <c r="O602" s="1">
        <v>79886000</v>
      </c>
      <c r="P602" t="s">
        <v>2281</v>
      </c>
    </row>
    <row r="603" spans="1:16" x14ac:dyDescent="0.3">
      <c r="A603" s="1" t="s">
        <v>1413</v>
      </c>
      <c r="B603" s="1" t="s">
        <v>14</v>
      </c>
      <c r="C603" s="1" t="s">
        <v>1414</v>
      </c>
      <c r="D603" s="1" t="s">
        <v>24</v>
      </c>
      <c r="E603" s="1" t="s">
        <v>1415</v>
      </c>
      <c r="F603" s="1" t="s">
        <v>18</v>
      </c>
      <c r="G603" s="6">
        <v>42303</v>
      </c>
      <c r="H603" s="1">
        <v>2019</v>
      </c>
      <c r="I603" t="s">
        <v>27</v>
      </c>
      <c r="J603" s="1">
        <v>5</v>
      </c>
      <c r="K603" s="1" t="s">
        <v>20</v>
      </c>
      <c r="L603" s="1" t="s">
        <v>52</v>
      </c>
      <c r="M603" s="1">
        <v>5.5</v>
      </c>
      <c r="N603" s="1">
        <v>13.7</v>
      </c>
      <c r="O603" s="1">
        <v>86906000</v>
      </c>
      <c r="P603" t="s">
        <v>2281</v>
      </c>
    </row>
    <row r="604" spans="1:16" hidden="1" x14ac:dyDescent="0.3">
      <c r="A604" s="1" t="s">
        <v>1416</v>
      </c>
      <c r="B604" s="1" t="s">
        <v>37</v>
      </c>
      <c r="C604" s="1" t="s">
        <v>1417</v>
      </c>
      <c r="D604" s="1" t="s">
        <v>39</v>
      </c>
      <c r="E604" s="1" t="s">
        <v>17</v>
      </c>
      <c r="F604" s="1" t="s">
        <v>26</v>
      </c>
      <c r="G604" s="6">
        <v>43401</v>
      </c>
      <c r="H604" s="1">
        <v>1990</v>
      </c>
      <c r="I604" t="s">
        <v>19</v>
      </c>
      <c r="J604" s="1">
        <v>103</v>
      </c>
      <c r="K604" s="1" t="s">
        <v>28</v>
      </c>
      <c r="L604" s="1" t="s">
        <v>35</v>
      </c>
      <c r="M604" s="1">
        <v>5.0999999999999996</v>
      </c>
      <c r="N604" s="1">
        <v>25.36</v>
      </c>
      <c r="O604" s="1">
        <v>24321000</v>
      </c>
      <c r="P604" t="s">
        <v>2281</v>
      </c>
    </row>
    <row r="605" spans="1:16" x14ac:dyDescent="0.3">
      <c r="A605" s="1" t="s">
        <v>1418</v>
      </c>
      <c r="B605" s="1" t="s">
        <v>14</v>
      </c>
      <c r="C605" s="1" t="s">
        <v>1419</v>
      </c>
      <c r="D605" s="1" t="s">
        <v>49</v>
      </c>
      <c r="E605" s="1" t="s">
        <v>17</v>
      </c>
      <c r="F605" s="1" t="s">
        <v>33</v>
      </c>
      <c r="G605" s="6">
        <v>42202</v>
      </c>
      <c r="H605" s="1">
        <v>2009</v>
      </c>
      <c r="I605" t="s">
        <v>27</v>
      </c>
      <c r="J605" s="1">
        <v>10</v>
      </c>
      <c r="K605" s="1" t="s">
        <v>20</v>
      </c>
      <c r="L605" s="1" t="s">
        <v>46</v>
      </c>
      <c r="M605" s="1">
        <v>3.2</v>
      </c>
      <c r="N605" s="1">
        <v>41.9</v>
      </c>
      <c r="O605" s="1">
        <v>13872000</v>
      </c>
      <c r="P605" t="s">
        <v>2282</v>
      </c>
    </row>
    <row r="606" spans="1:16" hidden="1" x14ac:dyDescent="0.3">
      <c r="A606" s="1" t="s">
        <v>1420</v>
      </c>
      <c r="B606" s="1" t="s">
        <v>37</v>
      </c>
      <c r="C606" s="1" t="s">
        <v>1421</v>
      </c>
      <c r="D606" s="1" t="s">
        <v>24</v>
      </c>
      <c r="E606" s="1" t="s">
        <v>72</v>
      </c>
      <c r="F606" s="1" t="s">
        <v>26</v>
      </c>
      <c r="G606" s="6">
        <v>42932</v>
      </c>
      <c r="H606" s="1">
        <v>1992</v>
      </c>
      <c r="I606" t="s">
        <v>34</v>
      </c>
      <c r="J606" s="1">
        <v>95</v>
      </c>
      <c r="K606" s="1" t="s">
        <v>28</v>
      </c>
      <c r="L606" s="1" t="s">
        <v>46</v>
      </c>
      <c r="M606" s="1">
        <v>4.2</v>
      </c>
      <c r="N606" s="1">
        <v>61.59</v>
      </c>
      <c r="O606" s="1">
        <v>93456000</v>
      </c>
      <c r="P606" t="s">
        <v>2282</v>
      </c>
    </row>
    <row r="607" spans="1:16" hidden="1" x14ac:dyDescent="0.3">
      <c r="A607" s="1" t="s">
        <v>1422</v>
      </c>
      <c r="B607" s="1" t="s">
        <v>37</v>
      </c>
      <c r="C607" s="1" t="s">
        <v>1423</v>
      </c>
      <c r="D607" s="1" t="s">
        <v>49</v>
      </c>
      <c r="E607" s="1" t="s">
        <v>222</v>
      </c>
      <c r="F607" s="1" t="s">
        <v>26</v>
      </c>
      <c r="G607" s="6">
        <v>42504</v>
      </c>
      <c r="H607" s="1">
        <v>2004</v>
      </c>
      <c r="I607" t="s">
        <v>55</v>
      </c>
      <c r="J607" s="1">
        <v>135</v>
      </c>
      <c r="K607" s="1" t="s">
        <v>28</v>
      </c>
      <c r="L607" s="1" t="s">
        <v>69</v>
      </c>
      <c r="M607" s="1">
        <v>7.1</v>
      </c>
      <c r="N607" s="1">
        <v>99.41</v>
      </c>
      <c r="O607" s="1">
        <v>33997000</v>
      </c>
      <c r="P607" t="s">
        <v>2282</v>
      </c>
    </row>
    <row r="608" spans="1:16" x14ac:dyDescent="0.3">
      <c r="A608" s="1" t="s">
        <v>1424</v>
      </c>
      <c r="B608" s="1" t="s">
        <v>14</v>
      </c>
      <c r="C608" s="1" t="s">
        <v>1425</v>
      </c>
      <c r="D608" s="1" t="s">
        <v>49</v>
      </c>
      <c r="E608" s="1" t="s">
        <v>1426</v>
      </c>
      <c r="F608" s="1" t="s">
        <v>26</v>
      </c>
      <c r="G608" s="6">
        <v>42833</v>
      </c>
      <c r="H608" s="1">
        <v>2003</v>
      </c>
      <c r="I608" t="s">
        <v>55</v>
      </c>
      <c r="J608" s="1">
        <v>8</v>
      </c>
      <c r="K608" s="1" t="s">
        <v>20</v>
      </c>
      <c r="L608" s="1" t="s">
        <v>35</v>
      </c>
      <c r="M608" s="1">
        <v>1.4</v>
      </c>
      <c r="N608" s="1">
        <v>52.18</v>
      </c>
      <c r="O608" s="1">
        <v>65450000</v>
      </c>
      <c r="P608" t="s">
        <v>2281</v>
      </c>
    </row>
    <row r="609" spans="1:16" hidden="1" x14ac:dyDescent="0.3">
      <c r="A609" s="1" t="s">
        <v>1427</v>
      </c>
      <c r="B609" s="1" t="s">
        <v>37</v>
      </c>
      <c r="C609" s="1" t="s">
        <v>1428</v>
      </c>
      <c r="D609" s="1" t="s">
        <v>49</v>
      </c>
      <c r="E609" s="1" t="s">
        <v>1429</v>
      </c>
      <c r="F609" s="1" t="s">
        <v>33</v>
      </c>
      <c r="G609" s="6">
        <v>44260</v>
      </c>
      <c r="H609" s="1">
        <v>2018</v>
      </c>
      <c r="I609" t="s">
        <v>19</v>
      </c>
      <c r="J609" s="1">
        <v>161</v>
      </c>
      <c r="K609" s="1" t="s">
        <v>28</v>
      </c>
      <c r="L609" s="1" t="s">
        <v>41</v>
      </c>
      <c r="M609" s="1">
        <v>9.1</v>
      </c>
      <c r="N609" s="1">
        <v>93.99</v>
      </c>
      <c r="O609" s="1">
        <v>19501000</v>
      </c>
      <c r="P609" t="s">
        <v>2282</v>
      </c>
    </row>
    <row r="610" spans="1:16" x14ac:dyDescent="0.3">
      <c r="A610" s="1" t="s">
        <v>1430</v>
      </c>
      <c r="B610" s="1" t="s">
        <v>14</v>
      </c>
      <c r="C610" s="1" t="s">
        <v>1431</v>
      </c>
      <c r="D610" s="1" t="s">
        <v>72</v>
      </c>
      <c r="E610" s="1" t="s">
        <v>372</v>
      </c>
      <c r="F610" s="1" t="s">
        <v>45</v>
      </c>
      <c r="G610" s="6">
        <v>44944</v>
      </c>
      <c r="H610" s="1">
        <v>2022</v>
      </c>
      <c r="I610" t="s">
        <v>34</v>
      </c>
      <c r="J610" s="1">
        <v>5</v>
      </c>
      <c r="K610" s="1" t="s">
        <v>20</v>
      </c>
      <c r="L610" s="1" t="s">
        <v>35</v>
      </c>
      <c r="M610" s="1">
        <v>999</v>
      </c>
      <c r="N610" s="1">
        <v>105.34</v>
      </c>
      <c r="O610" s="1">
        <v>73458000</v>
      </c>
      <c r="P610" t="s">
        <v>2281</v>
      </c>
    </row>
    <row r="611" spans="1:16" hidden="1" x14ac:dyDescent="0.3">
      <c r="A611" s="1" t="s">
        <v>1432</v>
      </c>
      <c r="B611" s="1" t="s">
        <v>37</v>
      </c>
      <c r="C611" s="1" t="s">
        <v>1433</v>
      </c>
      <c r="D611" s="1" t="s">
        <v>49</v>
      </c>
      <c r="E611" s="1" t="s">
        <v>1434</v>
      </c>
      <c r="F611" s="1" t="s">
        <v>33</v>
      </c>
      <c r="G611" s="6">
        <v>42731</v>
      </c>
      <c r="H611" s="1">
        <v>2000</v>
      </c>
      <c r="I611" t="s">
        <v>34</v>
      </c>
      <c r="J611" s="1">
        <v>99</v>
      </c>
      <c r="K611" s="1" t="s">
        <v>28</v>
      </c>
      <c r="L611" s="1" t="s">
        <v>35</v>
      </c>
      <c r="M611" s="1">
        <v>1.6</v>
      </c>
      <c r="N611" s="1">
        <v>80.27</v>
      </c>
      <c r="O611" s="1">
        <v>66399000</v>
      </c>
      <c r="P611" t="s">
        <v>2281</v>
      </c>
    </row>
    <row r="612" spans="1:16" hidden="1" x14ac:dyDescent="0.3">
      <c r="A612" s="1" t="s">
        <v>1435</v>
      </c>
      <c r="B612" s="1" t="s">
        <v>37</v>
      </c>
      <c r="C612" s="1" t="s">
        <v>1436</v>
      </c>
      <c r="D612" s="1" t="s">
        <v>39</v>
      </c>
      <c r="E612" s="1" t="s">
        <v>1437</v>
      </c>
      <c r="F612" s="1" t="s">
        <v>51</v>
      </c>
      <c r="G612" s="6">
        <v>42342</v>
      </c>
      <c r="H612" s="1">
        <v>1993</v>
      </c>
      <c r="I612" t="s">
        <v>27</v>
      </c>
      <c r="J612" s="1">
        <v>101</v>
      </c>
      <c r="K612" s="1" t="s">
        <v>28</v>
      </c>
      <c r="L612" s="1" t="s">
        <v>41</v>
      </c>
      <c r="M612" s="1">
        <v>9.9</v>
      </c>
      <c r="N612" s="1">
        <v>69.08</v>
      </c>
      <c r="O612" s="1">
        <v>22215000</v>
      </c>
      <c r="P612" t="s">
        <v>2282</v>
      </c>
    </row>
    <row r="613" spans="1:16" x14ac:dyDescent="0.3">
      <c r="A613" s="1" t="s">
        <v>1438</v>
      </c>
      <c r="B613" s="1" t="s">
        <v>14</v>
      </c>
      <c r="C613" s="1" t="s">
        <v>1439</v>
      </c>
      <c r="D613" s="1" t="s">
        <v>49</v>
      </c>
      <c r="E613" s="1" t="s">
        <v>1440</v>
      </c>
      <c r="F613" s="1" t="s">
        <v>26</v>
      </c>
      <c r="G613" s="6">
        <v>43352</v>
      </c>
      <c r="H613" s="1">
        <v>2012</v>
      </c>
      <c r="I613" t="s">
        <v>19</v>
      </c>
      <c r="J613" s="1">
        <v>6</v>
      </c>
      <c r="K613" s="1" t="s">
        <v>20</v>
      </c>
      <c r="L613" s="1" t="s">
        <v>52</v>
      </c>
      <c r="M613" s="1">
        <v>6.1</v>
      </c>
      <c r="N613" s="1">
        <v>16.63</v>
      </c>
      <c r="O613" s="1">
        <v>11307000</v>
      </c>
      <c r="P613" t="s">
        <v>2282</v>
      </c>
    </row>
    <row r="614" spans="1:16" hidden="1" x14ac:dyDescent="0.3">
      <c r="A614" s="1" t="s">
        <v>1441</v>
      </c>
      <c r="B614" s="1" t="s">
        <v>37</v>
      </c>
      <c r="C614" s="1" t="s">
        <v>1442</v>
      </c>
      <c r="D614" s="1" t="s">
        <v>49</v>
      </c>
      <c r="E614" s="1" t="s">
        <v>111</v>
      </c>
      <c r="F614" s="1" t="s">
        <v>45</v>
      </c>
      <c r="G614" s="6">
        <v>43474</v>
      </c>
      <c r="H614" s="1">
        <v>2002</v>
      </c>
      <c r="I614" t="s">
        <v>34</v>
      </c>
      <c r="J614" s="1">
        <v>92</v>
      </c>
      <c r="K614" s="1" t="s">
        <v>28</v>
      </c>
      <c r="L614" s="1" t="s">
        <v>52</v>
      </c>
      <c r="M614" s="1">
        <v>5.9</v>
      </c>
      <c r="N614" s="1">
        <v>29.05</v>
      </c>
      <c r="O614" s="1">
        <v>93567000</v>
      </c>
      <c r="P614" t="s">
        <v>2281</v>
      </c>
    </row>
    <row r="615" spans="1:16" hidden="1" x14ac:dyDescent="0.3">
      <c r="A615" s="1" t="s">
        <v>1443</v>
      </c>
      <c r="B615" s="1" t="s">
        <v>37</v>
      </c>
      <c r="C615" s="1" t="s">
        <v>1444</v>
      </c>
      <c r="D615" s="1" t="s">
        <v>16</v>
      </c>
      <c r="E615" s="1" t="s">
        <v>484</v>
      </c>
      <c r="F615" s="1" t="s">
        <v>45</v>
      </c>
      <c r="G615" s="6">
        <v>42062</v>
      </c>
      <c r="H615" s="1">
        <v>2023</v>
      </c>
      <c r="I615" t="s">
        <v>34</v>
      </c>
      <c r="J615" s="1">
        <v>169</v>
      </c>
      <c r="K615" s="1" t="s">
        <v>28</v>
      </c>
      <c r="L615" s="1" t="s">
        <v>41</v>
      </c>
      <c r="M615" s="1">
        <v>3.7</v>
      </c>
      <c r="N615" s="1">
        <v>113.16</v>
      </c>
      <c r="O615" s="1">
        <v>39304000</v>
      </c>
      <c r="P615" t="s">
        <v>2281</v>
      </c>
    </row>
    <row r="616" spans="1:16" x14ac:dyDescent="0.3">
      <c r="A616" s="1" t="s">
        <v>1445</v>
      </c>
      <c r="B616" s="1" t="s">
        <v>14</v>
      </c>
      <c r="C616" s="1" t="s">
        <v>1446</v>
      </c>
      <c r="D616" s="1" t="s">
        <v>49</v>
      </c>
      <c r="E616" s="1" t="s">
        <v>953</v>
      </c>
      <c r="F616" s="1" t="s">
        <v>26</v>
      </c>
      <c r="G616" s="6">
        <v>42693</v>
      </c>
      <c r="H616" s="1">
        <v>2007</v>
      </c>
      <c r="I616" t="s">
        <v>34</v>
      </c>
      <c r="J616" s="1">
        <v>1</v>
      </c>
      <c r="K616" s="1" t="s">
        <v>20</v>
      </c>
      <c r="L616" s="1" t="s">
        <v>21</v>
      </c>
      <c r="M616" s="1">
        <v>3.7</v>
      </c>
      <c r="N616" s="1">
        <v>104.76</v>
      </c>
      <c r="O616" s="1">
        <v>55219000</v>
      </c>
      <c r="P616" t="s">
        <v>2282</v>
      </c>
    </row>
    <row r="617" spans="1:16" x14ac:dyDescent="0.3">
      <c r="A617" s="1" t="s">
        <v>1447</v>
      </c>
      <c r="B617" s="1" t="s">
        <v>14</v>
      </c>
      <c r="C617" s="1" t="s">
        <v>1448</v>
      </c>
      <c r="D617" s="1" t="s">
        <v>39</v>
      </c>
      <c r="E617" s="1" t="s">
        <v>518</v>
      </c>
      <c r="F617" s="1" t="s">
        <v>33</v>
      </c>
      <c r="G617" s="6">
        <v>45208</v>
      </c>
      <c r="H617" s="1">
        <v>2023</v>
      </c>
      <c r="I617" t="s">
        <v>27</v>
      </c>
      <c r="J617" s="1">
        <v>2</v>
      </c>
      <c r="K617" s="1" t="s">
        <v>20</v>
      </c>
      <c r="L617" s="1" t="s">
        <v>21</v>
      </c>
      <c r="M617" s="1">
        <v>1.6</v>
      </c>
      <c r="N617" s="1">
        <v>143.44</v>
      </c>
      <c r="O617" s="1">
        <v>37553000</v>
      </c>
      <c r="P617" t="s">
        <v>2281</v>
      </c>
    </row>
    <row r="618" spans="1:16" x14ac:dyDescent="0.3">
      <c r="A618" s="1" t="s">
        <v>1449</v>
      </c>
      <c r="B618" s="1" t="s">
        <v>14</v>
      </c>
      <c r="C618" s="1" t="s">
        <v>1450</v>
      </c>
      <c r="D618" s="1" t="s">
        <v>62</v>
      </c>
      <c r="E618" s="1" t="s">
        <v>72</v>
      </c>
      <c r="F618" s="1" t="s">
        <v>33</v>
      </c>
      <c r="G618" s="6">
        <v>45177</v>
      </c>
      <c r="H618" s="1">
        <v>2019</v>
      </c>
      <c r="I618" t="s">
        <v>89</v>
      </c>
      <c r="J618" s="1">
        <v>8</v>
      </c>
      <c r="K618" s="1" t="s">
        <v>20</v>
      </c>
      <c r="L618" s="1" t="s">
        <v>46</v>
      </c>
      <c r="M618" s="1">
        <v>3.7</v>
      </c>
      <c r="N618" s="1">
        <v>120.64</v>
      </c>
      <c r="O618" s="1">
        <v>80853000</v>
      </c>
      <c r="P618" t="s">
        <v>2281</v>
      </c>
    </row>
    <row r="619" spans="1:16" hidden="1" x14ac:dyDescent="0.3">
      <c r="A619" s="1" t="s">
        <v>1451</v>
      </c>
      <c r="B619" s="1" t="s">
        <v>37</v>
      </c>
      <c r="C619" s="1" t="s">
        <v>1452</v>
      </c>
      <c r="D619" s="1" t="s">
        <v>72</v>
      </c>
      <c r="E619" s="1" t="s">
        <v>1368</v>
      </c>
      <c r="F619" s="1" t="s">
        <v>158</v>
      </c>
      <c r="G619" s="6">
        <v>42043</v>
      </c>
      <c r="H619" s="1">
        <v>2015</v>
      </c>
      <c r="I619" t="s">
        <v>55</v>
      </c>
      <c r="J619" s="1">
        <v>143</v>
      </c>
      <c r="K619" s="1" t="s">
        <v>28</v>
      </c>
      <c r="L619" s="1" t="s">
        <v>46</v>
      </c>
      <c r="M619" s="1">
        <v>6</v>
      </c>
      <c r="N619" s="1">
        <v>24.45</v>
      </c>
      <c r="O619" s="1">
        <v>80806000</v>
      </c>
      <c r="P619" t="s">
        <v>2281</v>
      </c>
    </row>
    <row r="620" spans="1:16" hidden="1" x14ac:dyDescent="0.3">
      <c r="A620" s="1" t="s">
        <v>1453</v>
      </c>
      <c r="B620" s="1" t="s">
        <v>37</v>
      </c>
      <c r="C620" s="1" t="s">
        <v>1454</v>
      </c>
      <c r="D620" s="1" t="s">
        <v>24</v>
      </c>
      <c r="E620" s="1" t="s">
        <v>114</v>
      </c>
      <c r="F620" s="1" t="s">
        <v>59</v>
      </c>
      <c r="G620" s="6">
        <v>44553</v>
      </c>
      <c r="H620" s="1">
        <v>2013</v>
      </c>
      <c r="I620" t="s">
        <v>89</v>
      </c>
      <c r="J620" s="1">
        <v>174</v>
      </c>
      <c r="K620" s="1" t="s">
        <v>28</v>
      </c>
      <c r="L620" s="1" t="s">
        <v>46</v>
      </c>
      <c r="M620" s="1">
        <v>9.8000000000000007</v>
      </c>
      <c r="N620" s="1">
        <v>133</v>
      </c>
      <c r="O620" s="1">
        <v>84314000</v>
      </c>
      <c r="P620" t="s">
        <v>2282</v>
      </c>
    </row>
    <row r="621" spans="1:16" x14ac:dyDescent="0.3">
      <c r="A621" s="1" t="s">
        <v>1455</v>
      </c>
      <c r="B621" s="1" t="s">
        <v>14</v>
      </c>
      <c r="C621" s="1" t="s">
        <v>1456</v>
      </c>
      <c r="D621" s="1" t="s">
        <v>62</v>
      </c>
      <c r="E621" s="1" t="s">
        <v>1457</v>
      </c>
      <c r="F621" s="1" t="s">
        <v>158</v>
      </c>
      <c r="G621" s="6">
        <v>43241</v>
      </c>
      <c r="H621" s="1">
        <v>2005</v>
      </c>
      <c r="I621" t="s">
        <v>27</v>
      </c>
      <c r="J621" s="1">
        <v>7</v>
      </c>
      <c r="K621" s="1" t="s">
        <v>20</v>
      </c>
      <c r="L621" s="1" t="s">
        <v>41</v>
      </c>
      <c r="M621" s="1">
        <v>6.1</v>
      </c>
      <c r="N621" s="1">
        <v>7.47</v>
      </c>
      <c r="O621" s="1">
        <v>96426000</v>
      </c>
      <c r="P621" t="s">
        <v>2282</v>
      </c>
    </row>
    <row r="622" spans="1:16" x14ac:dyDescent="0.3">
      <c r="A622" s="1" t="s">
        <v>1458</v>
      </c>
      <c r="B622" s="1" t="s">
        <v>14</v>
      </c>
      <c r="C622" s="1" t="s">
        <v>1459</v>
      </c>
      <c r="D622" s="1" t="s">
        <v>72</v>
      </c>
      <c r="E622" s="1" t="s">
        <v>966</v>
      </c>
      <c r="F622" s="1" t="s">
        <v>51</v>
      </c>
      <c r="G622" s="6">
        <v>43357</v>
      </c>
      <c r="H622" s="1">
        <v>2023</v>
      </c>
      <c r="I622" t="s">
        <v>34</v>
      </c>
      <c r="J622" s="1">
        <v>9</v>
      </c>
      <c r="K622" s="1" t="s">
        <v>20</v>
      </c>
      <c r="L622" s="1" t="s">
        <v>35</v>
      </c>
      <c r="M622" s="1">
        <v>1.8</v>
      </c>
      <c r="N622" s="1">
        <v>112.57</v>
      </c>
      <c r="O622" s="1">
        <v>59907000</v>
      </c>
      <c r="P622" t="s">
        <v>2282</v>
      </c>
    </row>
    <row r="623" spans="1:16" hidden="1" x14ac:dyDescent="0.3">
      <c r="A623" s="1" t="s">
        <v>1460</v>
      </c>
      <c r="B623" s="1" t="s">
        <v>37</v>
      </c>
      <c r="C623" s="1" t="s">
        <v>1461</v>
      </c>
      <c r="D623" s="1" t="s">
        <v>72</v>
      </c>
      <c r="E623" s="1" t="s">
        <v>75</v>
      </c>
      <c r="F623" s="1" t="s">
        <v>158</v>
      </c>
      <c r="G623" s="6">
        <v>44160</v>
      </c>
      <c r="H623" s="1">
        <v>1991</v>
      </c>
      <c r="I623" t="s">
        <v>55</v>
      </c>
      <c r="J623" s="1">
        <v>135</v>
      </c>
      <c r="K623" s="1" t="s">
        <v>28</v>
      </c>
      <c r="L623" s="1" t="s">
        <v>46</v>
      </c>
      <c r="M623" s="1">
        <v>9.4</v>
      </c>
      <c r="N623" s="1">
        <v>71.06</v>
      </c>
      <c r="O623" s="1">
        <v>71192000</v>
      </c>
      <c r="P623" t="s">
        <v>2281</v>
      </c>
    </row>
    <row r="624" spans="1:16" x14ac:dyDescent="0.3">
      <c r="A624" s="1" t="s">
        <v>1462</v>
      </c>
      <c r="B624" s="1" t="s">
        <v>14</v>
      </c>
      <c r="C624" s="1" t="s">
        <v>1463</v>
      </c>
      <c r="D624" s="1" t="s">
        <v>62</v>
      </c>
      <c r="E624" s="1" t="s">
        <v>966</v>
      </c>
      <c r="F624" s="1" t="s">
        <v>26</v>
      </c>
      <c r="G624" s="6">
        <v>43223</v>
      </c>
      <c r="H624" s="1">
        <v>2011</v>
      </c>
      <c r="I624" t="s">
        <v>34</v>
      </c>
      <c r="J624" s="1">
        <v>10</v>
      </c>
      <c r="K624" s="1" t="s">
        <v>20</v>
      </c>
      <c r="L624" s="1" t="s">
        <v>41</v>
      </c>
      <c r="M624" s="1">
        <v>2.6</v>
      </c>
      <c r="N624" s="1">
        <v>69.760000000000005</v>
      </c>
      <c r="O624" s="1">
        <v>76667000</v>
      </c>
      <c r="P624" t="s">
        <v>2282</v>
      </c>
    </row>
    <row r="625" spans="1:16" hidden="1" x14ac:dyDescent="0.3">
      <c r="A625" s="1" t="s">
        <v>1464</v>
      </c>
      <c r="B625" s="1" t="s">
        <v>37</v>
      </c>
      <c r="C625" s="1" t="s">
        <v>1465</v>
      </c>
      <c r="D625" s="1" t="s">
        <v>39</v>
      </c>
      <c r="E625" s="1" t="s">
        <v>222</v>
      </c>
      <c r="F625" s="1" t="s">
        <v>26</v>
      </c>
      <c r="G625" s="6">
        <v>42267</v>
      </c>
      <c r="H625" s="1">
        <v>1990</v>
      </c>
      <c r="I625" t="s">
        <v>77</v>
      </c>
      <c r="J625" s="1">
        <v>151</v>
      </c>
      <c r="K625" s="1" t="s">
        <v>28</v>
      </c>
      <c r="L625" s="1" t="s">
        <v>41</v>
      </c>
      <c r="M625" s="1">
        <v>8.6999999999999993</v>
      </c>
      <c r="N625" s="1">
        <v>111.98</v>
      </c>
      <c r="O625" s="1">
        <v>61148000</v>
      </c>
      <c r="P625" t="s">
        <v>2281</v>
      </c>
    </row>
    <row r="626" spans="1:16" x14ac:dyDescent="0.3">
      <c r="A626" s="1" t="s">
        <v>1466</v>
      </c>
      <c r="B626" s="1" t="s">
        <v>14</v>
      </c>
      <c r="C626" s="1" t="s">
        <v>1467</v>
      </c>
      <c r="D626" s="1" t="s">
        <v>62</v>
      </c>
      <c r="E626" s="1" t="s">
        <v>50</v>
      </c>
      <c r="F626" s="1" t="s">
        <v>33</v>
      </c>
      <c r="G626" s="6">
        <v>42324</v>
      </c>
      <c r="H626" s="1">
        <v>1993</v>
      </c>
      <c r="I626" t="s">
        <v>27</v>
      </c>
      <c r="J626" s="1">
        <v>8</v>
      </c>
      <c r="K626" s="1" t="s">
        <v>20</v>
      </c>
      <c r="L626" s="1" t="s">
        <v>69</v>
      </c>
      <c r="M626" s="1">
        <v>4</v>
      </c>
      <c r="N626" s="1">
        <v>59.46</v>
      </c>
      <c r="O626" s="1">
        <v>86285000</v>
      </c>
      <c r="P626" t="s">
        <v>2282</v>
      </c>
    </row>
    <row r="627" spans="1:16" x14ac:dyDescent="0.3">
      <c r="A627" s="1" t="s">
        <v>1468</v>
      </c>
      <c r="B627" s="1" t="s">
        <v>14</v>
      </c>
      <c r="C627" s="1" t="s">
        <v>1469</v>
      </c>
      <c r="D627" s="1" t="s">
        <v>39</v>
      </c>
      <c r="E627" s="1" t="s">
        <v>354</v>
      </c>
      <c r="F627" s="1" t="s">
        <v>18</v>
      </c>
      <c r="G627" s="6">
        <v>42198</v>
      </c>
      <c r="H627" s="1">
        <v>1998</v>
      </c>
      <c r="I627" t="s">
        <v>89</v>
      </c>
      <c r="J627" s="1">
        <v>2</v>
      </c>
      <c r="K627" s="1" t="s">
        <v>20</v>
      </c>
      <c r="L627" s="1" t="s">
        <v>41</v>
      </c>
      <c r="M627" s="1">
        <v>3</v>
      </c>
      <c r="N627" s="1">
        <v>2.8</v>
      </c>
      <c r="O627" s="1">
        <v>75312000</v>
      </c>
      <c r="P627" t="s">
        <v>2281</v>
      </c>
    </row>
    <row r="628" spans="1:16" x14ac:dyDescent="0.3">
      <c r="A628" s="1" t="s">
        <v>1470</v>
      </c>
      <c r="B628" s="1" t="s">
        <v>14</v>
      </c>
      <c r="C628" s="1" t="s">
        <v>1471</v>
      </c>
      <c r="D628" s="1" t="s">
        <v>49</v>
      </c>
      <c r="E628" s="1" t="s">
        <v>1472</v>
      </c>
      <c r="F628" s="1" t="s">
        <v>45</v>
      </c>
      <c r="G628" s="6">
        <v>43885</v>
      </c>
      <c r="H628" s="1">
        <v>2019</v>
      </c>
      <c r="I628" t="s">
        <v>19</v>
      </c>
      <c r="J628" s="1">
        <v>8</v>
      </c>
      <c r="K628" s="1" t="s">
        <v>20</v>
      </c>
      <c r="L628" s="1" t="s">
        <v>35</v>
      </c>
      <c r="M628" s="1">
        <v>9.8000000000000007</v>
      </c>
      <c r="N628" s="1">
        <v>141.77000000000001</v>
      </c>
      <c r="O628" s="1">
        <v>68260000</v>
      </c>
      <c r="P628" t="s">
        <v>2282</v>
      </c>
    </row>
    <row r="629" spans="1:16" x14ac:dyDescent="0.3">
      <c r="A629" s="1" t="s">
        <v>1473</v>
      </c>
      <c r="B629" s="1" t="s">
        <v>14</v>
      </c>
      <c r="C629" s="1" t="s">
        <v>1474</v>
      </c>
      <c r="D629" s="1" t="s">
        <v>62</v>
      </c>
      <c r="E629" s="1" t="s">
        <v>564</v>
      </c>
      <c r="F629" s="1" t="s">
        <v>59</v>
      </c>
      <c r="G629" s="6">
        <v>42820</v>
      </c>
      <c r="H629" s="1">
        <v>2004</v>
      </c>
      <c r="I629" t="s">
        <v>77</v>
      </c>
      <c r="J629" s="1">
        <v>10</v>
      </c>
      <c r="K629" s="1" t="s">
        <v>20</v>
      </c>
      <c r="L629" s="1" t="s">
        <v>52</v>
      </c>
      <c r="M629" s="1">
        <v>4.2</v>
      </c>
      <c r="N629" s="1">
        <v>142.13</v>
      </c>
      <c r="O629" s="1">
        <v>49225000</v>
      </c>
      <c r="P629" t="s">
        <v>2281</v>
      </c>
    </row>
    <row r="630" spans="1:16" hidden="1" x14ac:dyDescent="0.3">
      <c r="A630" s="1" t="s">
        <v>1475</v>
      </c>
      <c r="B630" s="1" t="s">
        <v>37</v>
      </c>
      <c r="C630" s="1" t="s">
        <v>1476</v>
      </c>
      <c r="D630" s="1" t="s">
        <v>39</v>
      </c>
      <c r="E630" s="1" t="s">
        <v>377</v>
      </c>
      <c r="F630" s="1" t="s">
        <v>59</v>
      </c>
      <c r="G630" s="6">
        <v>44165</v>
      </c>
      <c r="H630" s="1">
        <v>2016</v>
      </c>
      <c r="I630" t="s">
        <v>55</v>
      </c>
      <c r="J630" s="1">
        <v>114</v>
      </c>
      <c r="K630" s="1" t="s">
        <v>28</v>
      </c>
      <c r="L630" s="1" t="s">
        <v>21</v>
      </c>
      <c r="M630" s="1">
        <v>8.5</v>
      </c>
      <c r="N630" s="1">
        <v>118.3</v>
      </c>
      <c r="O630" s="1">
        <v>45903000</v>
      </c>
      <c r="P630" t="s">
        <v>2282</v>
      </c>
    </row>
    <row r="631" spans="1:16" hidden="1" x14ac:dyDescent="0.3">
      <c r="A631" s="1" t="s">
        <v>1477</v>
      </c>
      <c r="B631" s="1" t="s">
        <v>37</v>
      </c>
      <c r="C631" s="1" t="s">
        <v>1478</v>
      </c>
      <c r="D631" s="1" t="s">
        <v>62</v>
      </c>
      <c r="E631" s="1" t="s">
        <v>17</v>
      </c>
      <c r="F631" s="1" t="s">
        <v>45</v>
      </c>
      <c r="G631" s="6">
        <v>43175</v>
      </c>
      <c r="H631" s="1">
        <v>1990</v>
      </c>
      <c r="I631" t="s">
        <v>19</v>
      </c>
      <c r="J631" s="1">
        <v>104</v>
      </c>
      <c r="K631" s="1" t="s">
        <v>28</v>
      </c>
      <c r="L631" s="1" t="s">
        <v>52</v>
      </c>
      <c r="M631" s="1">
        <v>3.8</v>
      </c>
      <c r="N631" s="1">
        <v>12.25</v>
      </c>
      <c r="O631" s="1">
        <v>67550000</v>
      </c>
      <c r="P631" t="s">
        <v>2281</v>
      </c>
    </row>
    <row r="632" spans="1:16" hidden="1" x14ac:dyDescent="0.3">
      <c r="A632" s="1" t="s">
        <v>1479</v>
      </c>
      <c r="B632" s="1" t="s">
        <v>37</v>
      </c>
      <c r="C632" s="1" t="s">
        <v>1480</v>
      </c>
      <c r="D632" s="1" t="s">
        <v>62</v>
      </c>
      <c r="E632" s="1" t="s">
        <v>120</v>
      </c>
      <c r="F632" s="1" t="s">
        <v>76</v>
      </c>
      <c r="G632" s="6">
        <v>44163</v>
      </c>
      <c r="H632" s="1">
        <v>2018</v>
      </c>
      <c r="I632" t="s">
        <v>34</v>
      </c>
      <c r="J632" s="1">
        <v>176</v>
      </c>
      <c r="K632" s="1" t="s">
        <v>28</v>
      </c>
      <c r="L632" s="1" t="s">
        <v>69</v>
      </c>
      <c r="M632" s="1">
        <v>2.2000000000000002</v>
      </c>
      <c r="N632" s="1">
        <v>40.65</v>
      </c>
      <c r="O632" s="1">
        <v>12694000</v>
      </c>
      <c r="P632" t="s">
        <v>2281</v>
      </c>
    </row>
    <row r="633" spans="1:16" x14ac:dyDescent="0.3">
      <c r="A633" s="1" t="s">
        <v>1481</v>
      </c>
      <c r="B633" s="1" t="s">
        <v>14</v>
      </c>
      <c r="C633" s="1" t="s">
        <v>1482</v>
      </c>
      <c r="D633" s="1" t="s">
        <v>24</v>
      </c>
      <c r="E633" s="1" t="s">
        <v>771</v>
      </c>
      <c r="F633" s="1" t="s">
        <v>18</v>
      </c>
      <c r="G633" s="6">
        <v>42338</v>
      </c>
      <c r="H633" s="1">
        <v>1990</v>
      </c>
      <c r="I633" t="s">
        <v>77</v>
      </c>
      <c r="J633" s="1">
        <v>1</v>
      </c>
      <c r="K633" s="1" t="s">
        <v>20</v>
      </c>
      <c r="L633" s="1" t="s">
        <v>41</v>
      </c>
      <c r="M633" s="1">
        <v>3.8</v>
      </c>
      <c r="N633" s="1">
        <v>121.25</v>
      </c>
      <c r="O633" s="1">
        <v>54156000</v>
      </c>
      <c r="P633" t="s">
        <v>2281</v>
      </c>
    </row>
    <row r="634" spans="1:16" x14ac:dyDescent="0.3">
      <c r="A634" s="1" t="s">
        <v>1483</v>
      </c>
      <c r="B634" s="1" t="s">
        <v>14</v>
      </c>
      <c r="C634" s="1" t="s">
        <v>1484</v>
      </c>
      <c r="D634" s="1" t="s">
        <v>62</v>
      </c>
      <c r="E634" s="1" t="s">
        <v>72</v>
      </c>
      <c r="F634" s="1" t="s">
        <v>76</v>
      </c>
      <c r="G634" s="6">
        <v>43155</v>
      </c>
      <c r="H634" s="1">
        <v>2011</v>
      </c>
      <c r="I634" t="s">
        <v>34</v>
      </c>
      <c r="J634" s="1">
        <v>5</v>
      </c>
      <c r="K634" s="1" t="s">
        <v>20</v>
      </c>
      <c r="L634" s="1" t="s">
        <v>35</v>
      </c>
      <c r="M634" s="1">
        <v>7.5</v>
      </c>
      <c r="N634" s="1">
        <v>85.84</v>
      </c>
      <c r="O634" s="1">
        <v>25265000</v>
      </c>
      <c r="P634" t="s">
        <v>2281</v>
      </c>
    </row>
    <row r="635" spans="1:16" hidden="1" x14ac:dyDescent="0.3">
      <c r="A635" s="1" t="s">
        <v>1485</v>
      </c>
      <c r="B635" s="1" t="s">
        <v>37</v>
      </c>
      <c r="C635" s="1" t="s">
        <v>1486</v>
      </c>
      <c r="D635" s="1" t="s">
        <v>39</v>
      </c>
      <c r="E635" s="1" t="s">
        <v>92</v>
      </c>
      <c r="F635" s="1" t="s">
        <v>33</v>
      </c>
      <c r="G635" s="6">
        <v>43389</v>
      </c>
      <c r="H635" s="1">
        <v>2007</v>
      </c>
      <c r="I635" t="s">
        <v>27</v>
      </c>
      <c r="J635" s="1">
        <v>89</v>
      </c>
      <c r="K635" s="1" t="s">
        <v>28</v>
      </c>
      <c r="L635" s="1" t="s">
        <v>35</v>
      </c>
      <c r="M635" s="1">
        <v>8.4</v>
      </c>
      <c r="N635" s="1">
        <v>34.78</v>
      </c>
      <c r="O635" s="1">
        <v>82348000</v>
      </c>
      <c r="P635" t="s">
        <v>2281</v>
      </c>
    </row>
    <row r="636" spans="1:16" x14ac:dyDescent="0.3">
      <c r="A636" s="1" t="s">
        <v>1487</v>
      </c>
      <c r="B636" s="1" t="s">
        <v>14</v>
      </c>
      <c r="C636" s="1" t="s">
        <v>1488</v>
      </c>
      <c r="D636" s="1" t="s">
        <v>62</v>
      </c>
      <c r="E636" s="1" t="s">
        <v>123</v>
      </c>
      <c r="F636" s="1" t="s">
        <v>76</v>
      </c>
      <c r="G636" s="6">
        <v>44650</v>
      </c>
      <c r="H636" s="1">
        <v>1992</v>
      </c>
      <c r="I636" t="s">
        <v>77</v>
      </c>
      <c r="J636" s="1">
        <v>9</v>
      </c>
      <c r="K636" s="1" t="s">
        <v>20</v>
      </c>
      <c r="L636" s="1" t="s">
        <v>69</v>
      </c>
      <c r="M636" s="1">
        <v>7.1</v>
      </c>
      <c r="N636" s="1">
        <v>41.01</v>
      </c>
      <c r="O636" s="1">
        <v>58404000</v>
      </c>
      <c r="P636" t="s">
        <v>2282</v>
      </c>
    </row>
    <row r="637" spans="1:16" hidden="1" x14ac:dyDescent="0.3">
      <c r="A637" s="1" t="s">
        <v>1489</v>
      </c>
      <c r="B637" s="1" t="s">
        <v>37</v>
      </c>
      <c r="C637" s="1" t="s">
        <v>1490</v>
      </c>
      <c r="D637" s="1" t="s">
        <v>31</v>
      </c>
      <c r="E637" s="1" t="s">
        <v>1270</v>
      </c>
      <c r="F637" s="1" t="s">
        <v>158</v>
      </c>
      <c r="G637" s="6">
        <v>44294</v>
      </c>
      <c r="H637" s="1">
        <v>2006</v>
      </c>
      <c r="I637" t="s">
        <v>34</v>
      </c>
      <c r="J637" s="1">
        <v>123</v>
      </c>
      <c r="K637" s="1" t="s">
        <v>28</v>
      </c>
      <c r="L637" s="1" t="s">
        <v>21</v>
      </c>
      <c r="M637" s="1">
        <v>9.6</v>
      </c>
      <c r="N637" s="1">
        <v>107.83</v>
      </c>
      <c r="O637" s="1">
        <v>32330000</v>
      </c>
      <c r="P637" t="s">
        <v>2281</v>
      </c>
    </row>
    <row r="638" spans="1:16" hidden="1" x14ac:dyDescent="0.3">
      <c r="A638" s="1" t="s">
        <v>1491</v>
      </c>
      <c r="B638" s="1" t="s">
        <v>37</v>
      </c>
      <c r="C638" s="1" t="s">
        <v>1492</v>
      </c>
      <c r="D638" s="1" t="s">
        <v>39</v>
      </c>
      <c r="E638" s="1" t="s">
        <v>1493</v>
      </c>
      <c r="F638" s="1" t="s">
        <v>26</v>
      </c>
      <c r="G638" s="6">
        <v>42329</v>
      </c>
      <c r="H638" s="1">
        <v>1991</v>
      </c>
      <c r="I638" t="s">
        <v>34</v>
      </c>
      <c r="J638" s="1">
        <v>131</v>
      </c>
      <c r="K638" s="1" t="s">
        <v>28</v>
      </c>
      <c r="L638" s="1" t="s">
        <v>69</v>
      </c>
      <c r="M638" s="1">
        <v>5.6</v>
      </c>
      <c r="N638" s="1">
        <v>129.37</v>
      </c>
      <c r="O638" s="1">
        <v>92570000</v>
      </c>
      <c r="P638" t="s">
        <v>2282</v>
      </c>
    </row>
    <row r="639" spans="1:16" hidden="1" x14ac:dyDescent="0.3">
      <c r="A639" s="1" t="s">
        <v>1494</v>
      </c>
      <c r="B639" s="1" t="s">
        <v>37</v>
      </c>
      <c r="C639" s="1" t="s">
        <v>1495</v>
      </c>
      <c r="D639" s="1" t="s">
        <v>39</v>
      </c>
      <c r="E639" s="1" t="s">
        <v>40</v>
      </c>
      <c r="F639" s="1" t="s">
        <v>18</v>
      </c>
      <c r="G639" s="6">
        <v>44137</v>
      </c>
      <c r="H639" s="1">
        <v>1993</v>
      </c>
      <c r="I639" t="s">
        <v>27</v>
      </c>
      <c r="J639" s="1">
        <v>93</v>
      </c>
      <c r="K639" s="1" t="s">
        <v>28</v>
      </c>
      <c r="L639" s="1" t="s">
        <v>21</v>
      </c>
      <c r="M639" s="1">
        <v>4.3</v>
      </c>
      <c r="N639" s="1">
        <v>58.19</v>
      </c>
      <c r="O639" s="1">
        <v>40681000</v>
      </c>
      <c r="P639" t="s">
        <v>2281</v>
      </c>
    </row>
    <row r="640" spans="1:16" x14ac:dyDescent="0.3">
      <c r="A640" s="1" t="s">
        <v>1496</v>
      </c>
      <c r="B640" s="1" t="s">
        <v>14</v>
      </c>
      <c r="C640" s="1" t="s">
        <v>1497</v>
      </c>
      <c r="D640" s="1" t="s">
        <v>24</v>
      </c>
      <c r="E640" s="1" t="s">
        <v>1273</v>
      </c>
      <c r="F640" s="1" t="s">
        <v>45</v>
      </c>
      <c r="G640" s="6">
        <v>44303</v>
      </c>
      <c r="H640" s="1">
        <v>2019</v>
      </c>
      <c r="I640" t="s">
        <v>27</v>
      </c>
      <c r="J640" s="1">
        <v>8</v>
      </c>
      <c r="K640" s="1" t="s">
        <v>20</v>
      </c>
      <c r="L640" s="1" t="s">
        <v>35</v>
      </c>
      <c r="M640" s="1">
        <v>7</v>
      </c>
      <c r="N640" s="1">
        <v>113.23</v>
      </c>
      <c r="O640" s="1">
        <v>34597000</v>
      </c>
      <c r="P640" t="s">
        <v>2282</v>
      </c>
    </row>
    <row r="641" spans="1:16" x14ac:dyDescent="0.3">
      <c r="A641" s="1" t="s">
        <v>1498</v>
      </c>
      <c r="B641" s="1" t="s">
        <v>14</v>
      </c>
      <c r="C641" s="1" t="s">
        <v>1499</v>
      </c>
      <c r="D641" s="1" t="s">
        <v>72</v>
      </c>
      <c r="E641" s="1" t="s">
        <v>17</v>
      </c>
      <c r="F641" s="1" t="s">
        <v>18</v>
      </c>
      <c r="G641" s="6">
        <v>42220</v>
      </c>
      <c r="H641" s="1">
        <v>2020</v>
      </c>
      <c r="I641" t="s">
        <v>19</v>
      </c>
      <c r="J641" s="1">
        <v>9</v>
      </c>
      <c r="K641" s="1" t="s">
        <v>20</v>
      </c>
      <c r="L641" s="1" t="s">
        <v>41</v>
      </c>
      <c r="M641" s="1">
        <v>1.2</v>
      </c>
      <c r="N641" s="1">
        <v>144.5</v>
      </c>
      <c r="O641" s="1">
        <v>80296000</v>
      </c>
      <c r="P641" t="s">
        <v>2281</v>
      </c>
    </row>
    <row r="642" spans="1:16" x14ac:dyDescent="0.3">
      <c r="A642" s="1" t="s">
        <v>1500</v>
      </c>
      <c r="B642" s="1" t="s">
        <v>14</v>
      </c>
      <c r="C642" s="1" t="s">
        <v>1501</v>
      </c>
      <c r="D642" s="1" t="s">
        <v>31</v>
      </c>
      <c r="E642" s="1" t="s">
        <v>40</v>
      </c>
      <c r="F642" s="1" t="s">
        <v>59</v>
      </c>
      <c r="G642" s="6">
        <v>42722</v>
      </c>
      <c r="H642" s="1">
        <v>2005</v>
      </c>
      <c r="I642" t="s">
        <v>27</v>
      </c>
      <c r="J642" s="1">
        <v>6</v>
      </c>
      <c r="K642" s="1" t="s">
        <v>20</v>
      </c>
      <c r="L642" s="1" t="s">
        <v>52</v>
      </c>
      <c r="M642" s="1">
        <v>2.2999999999999998</v>
      </c>
      <c r="N642" s="1">
        <v>149.46</v>
      </c>
      <c r="O642" s="1">
        <v>32798000</v>
      </c>
      <c r="P642" t="s">
        <v>2282</v>
      </c>
    </row>
    <row r="643" spans="1:16" hidden="1" x14ac:dyDescent="0.3">
      <c r="A643" s="1" t="s">
        <v>1502</v>
      </c>
      <c r="B643" s="1" t="s">
        <v>37</v>
      </c>
      <c r="C643" s="1" t="s">
        <v>1503</v>
      </c>
      <c r="D643" s="1" t="s">
        <v>31</v>
      </c>
      <c r="E643" s="1" t="s">
        <v>72</v>
      </c>
      <c r="F643" s="1" t="s">
        <v>26</v>
      </c>
      <c r="G643" s="6">
        <v>44464</v>
      </c>
      <c r="H643" s="1">
        <v>1993</v>
      </c>
      <c r="I643" t="s">
        <v>77</v>
      </c>
      <c r="J643" s="1">
        <v>69</v>
      </c>
      <c r="K643" s="1" t="s">
        <v>28</v>
      </c>
      <c r="L643" s="1" t="s">
        <v>41</v>
      </c>
      <c r="M643" s="1">
        <v>1.1000000000000001</v>
      </c>
      <c r="N643" s="1">
        <v>133.78</v>
      </c>
      <c r="O643" s="1">
        <v>33597000</v>
      </c>
      <c r="P643" t="s">
        <v>2282</v>
      </c>
    </row>
    <row r="644" spans="1:16" hidden="1" x14ac:dyDescent="0.3">
      <c r="A644" s="1" t="s">
        <v>1504</v>
      </c>
      <c r="B644" s="1" t="s">
        <v>37</v>
      </c>
      <c r="C644" s="1" t="s">
        <v>1505</v>
      </c>
      <c r="D644" s="1" t="s">
        <v>72</v>
      </c>
      <c r="E644" s="1" t="s">
        <v>80</v>
      </c>
      <c r="F644" s="1" t="s">
        <v>76</v>
      </c>
      <c r="G644" s="6">
        <v>44266</v>
      </c>
      <c r="H644" s="1">
        <v>2009</v>
      </c>
      <c r="I644" t="s">
        <v>27</v>
      </c>
      <c r="J644" s="1">
        <v>114</v>
      </c>
      <c r="K644" s="1" t="s">
        <v>28</v>
      </c>
      <c r="L644" s="1" t="s">
        <v>46</v>
      </c>
      <c r="M644" s="1">
        <v>999</v>
      </c>
      <c r="N644" s="1">
        <v>17.5</v>
      </c>
      <c r="O644" s="1">
        <v>28172000</v>
      </c>
      <c r="P644" t="s">
        <v>2282</v>
      </c>
    </row>
    <row r="645" spans="1:16" hidden="1" x14ac:dyDescent="0.3">
      <c r="A645" s="1" t="s">
        <v>1506</v>
      </c>
      <c r="B645" s="1" t="s">
        <v>37</v>
      </c>
      <c r="C645" s="1" t="s">
        <v>1507</v>
      </c>
      <c r="D645" s="1" t="s">
        <v>31</v>
      </c>
      <c r="E645" s="1" t="s">
        <v>347</v>
      </c>
      <c r="F645" s="1" t="s">
        <v>26</v>
      </c>
      <c r="G645" s="6">
        <v>42099</v>
      </c>
      <c r="H645" s="1">
        <v>2009</v>
      </c>
      <c r="I645" t="s">
        <v>19</v>
      </c>
      <c r="J645" s="1">
        <v>151</v>
      </c>
      <c r="K645" s="1" t="s">
        <v>28</v>
      </c>
      <c r="L645" s="1" t="s">
        <v>46</v>
      </c>
      <c r="M645" s="1">
        <v>2.9</v>
      </c>
      <c r="N645" s="1">
        <v>119.04</v>
      </c>
      <c r="O645" s="1">
        <v>33117000</v>
      </c>
      <c r="P645" t="s">
        <v>2282</v>
      </c>
    </row>
    <row r="646" spans="1:16" hidden="1" x14ac:dyDescent="0.3">
      <c r="A646" s="1" t="s">
        <v>1508</v>
      </c>
      <c r="B646" s="1" t="s">
        <v>37</v>
      </c>
      <c r="C646" s="1" t="s">
        <v>1509</v>
      </c>
      <c r="D646" s="1" t="s">
        <v>39</v>
      </c>
      <c r="E646" s="1" t="s">
        <v>1510</v>
      </c>
      <c r="F646" s="1" t="s">
        <v>18</v>
      </c>
      <c r="G646" s="6">
        <v>43510</v>
      </c>
      <c r="H646" s="1">
        <v>2023</v>
      </c>
      <c r="I646" t="s">
        <v>77</v>
      </c>
      <c r="J646" s="1">
        <v>100</v>
      </c>
      <c r="K646" s="1" t="s">
        <v>28</v>
      </c>
      <c r="L646" s="1" t="s">
        <v>35</v>
      </c>
      <c r="M646" s="1">
        <v>3.7</v>
      </c>
      <c r="N646" s="1">
        <v>119.21</v>
      </c>
      <c r="O646" s="1">
        <v>43454000</v>
      </c>
      <c r="P646" t="s">
        <v>2281</v>
      </c>
    </row>
    <row r="647" spans="1:16" x14ac:dyDescent="0.3">
      <c r="A647" s="1" t="s">
        <v>1511</v>
      </c>
      <c r="B647" s="1" t="s">
        <v>14</v>
      </c>
      <c r="C647" s="1" t="s">
        <v>1512</v>
      </c>
      <c r="D647" s="1" t="s">
        <v>16</v>
      </c>
      <c r="E647" s="1" t="s">
        <v>227</v>
      </c>
      <c r="F647" s="1" t="s">
        <v>33</v>
      </c>
      <c r="G647" s="6">
        <v>44974</v>
      </c>
      <c r="H647" s="1">
        <v>2011</v>
      </c>
      <c r="I647" t="s">
        <v>89</v>
      </c>
      <c r="J647" s="1">
        <v>8</v>
      </c>
      <c r="K647" s="1" t="s">
        <v>20</v>
      </c>
      <c r="L647" s="1" t="s">
        <v>46</v>
      </c>
      <c r="M647" s="1">
        <v>5.9</v>
      </c>
      <c r="N647" s="1">
        <v>6.96</v>
      </c>
      <c r="O647" s="1">
        <v>32110000</v>
      </c>
      <c r="P647" t="s">
        <v>2281</v>
      </c>
    </row>
    <row r="648" spans="1:16" hidden="1" x14ac:dyDescent="0.3">
      <c r="A648" s="1" t="s">
        <v>1513</v>
      </c>
      <c r="B648" s="1" t="s">
        <v>37</v>
      </c>
      <c r="C648" s="1" t="s">
        <v>1514</v>
      </c>
      <c r="D648" s="1" t="s">
        <v>49</v>
      </c>
      <c r="E648" s="1" t="s">
        <v>58</v>
      </c>
      <c r="F648" s="1" t="s">
        <v>51</v>
      </c>
      <c r="G648" s="6">
        <v>43916</v>
      </c>
      <c r="H648" s="1">
        <v>1995</v>
      </c>
      <c r="I648" t="s">
        <v>55</v>
      </c>
      <c r="J648" s="1">
        <v>77</v>
      </c>
      <c r="K648" s="1" t="s">
        <v>28</v>
      </c>
      <c r="L648" s="1" t="s">
        <v>52</v>
      </c>
      <c r="M648" s="1">
        <v>8</v>
      </c>
      <c r="N648" s="1">
        <v>3.52</v>
      </c>
      <c r="O648" s="1">
        <v>4149000</v>
      </c>
      <c r="P648" t="s">
        <v>2281</v>
      </c>
    </row>
    <row r="649" spans="1:16" x14ac:dyDescent="0.3">
      <c r="A649" s="1" t="s">
        <v>1515</v>
      </c>
      <c r="B649" s="1" t="s">
        <v>14</v>
      </c>
      <c r="C649" s="1" t="s">
        <v>1516</v>
      </c>
      <c r="D649" s="1" t="s">
        <v>62</v>
      </c>
      <c r="E649" s="1" t="s">
        <v>599</v>
      </c>
      <c r="F649" s="1" t="s">
        <v>76</v>
      </c>
      <c r="G649" s="6">
        <v>42993</v>
      </c>
      <c r="H649" s="1">
        <v>2019</v>
      </c>
      <c r="I649" t="s">
        <v>77</v>
      </c>
      <c r="J649" s="1">
        <v>6</v>
      </c>
      <c r="K649" s="1" t="s">
        <v>20</v>
      </c>
      <c r="L649" s="1" t="s">
        <v>46</v>
      </c>
      <c r="M649" s="1">
        <v>6.5</v>
      </c>
      <c r="N649" s="1">
        <v>33.56</v>
      </c>
      <c r="O649" s="1">
        <v>62245000</v>
      </c>
      <c r="P649" t="s">
        <v>2281</v>
      </c>
    </row>
    <row r="650" spans="1:16" x14ac:dyDescent="0.3">
      <c r="A650" s="1" t="s">
        <v>1517</v>
      </c>
      <c r="B650" s="1" t="s">
        <v>14</v>
      </c>
      <c r="C650" s="1" t="s">
        <v>1518</v>
      </c>
      <c r="D650" s="1" t="s">
        <v>39</v>
      </c>
      <c r="E650" s="1" t="s">
        <v>58</v>
      </c>
      <c r="F650" s="1" t="s">
        <v>51</v>
      </c>
      <c r="G650" s="6">
        <v>43962</v>
      </c>
      <c r="H650" s="1">
        <v>2010</v>
      </c>
      <c r="I650" t="s">
        <v>55</v>
      </c>
      <c r="J650" s="1">
        <v>2</v>
      </c>
      <c r="K650" s="1" t="s">
        <v>20</v>
      </c>
      <c r="L650" s="1" t="s">
        <v>52</v>
      </c>
      <c r="M650" s="1">
        <v>2.9</v>
      </c>
      <c r="N650" s="1">
        <v>127.56</v>
      </c>
      <c r="O650" s="1">
        <v>45506000</v>
      </c>
      <c r="P650" t="s">
        <v>2281</v>
      </c>
    </row>
    <row r="651" spans="1:16" x14ac:dyDescent="0.3">
      <c r="A651" s="1" t="s">
        <v>1519</v>
      </c>
      <c r="B651" s="1" t="s">
        <v>14</v>
      </c>
      <c r="C651" s="1" t="s">
        <v>1520</v>
      </c>
      <c r="D651" s="1" t="s">
        <v>31</v>
      </c>
      <c r="E651" s="1" t="s">
        <v>111</v>
      </c>
      <c r="F651" s="1" t="s">
        <v>158</v>
      </c>
      <c r="G651" s="6">
        <v>44194</v>
      </c>
      <c r="H651" s="1">
        <v>1990</v>
      </c>
      <c r="I651" t="s">
        <v>19</v>
      </c>
      <c r="J651" s="1">
        <v>7</v>
      </c>
      <c r="K651" s="1" t="s">
        <v>20</v>
      </c>
      <c r="L651" s="1" t="s">
        <v>41</v>
      </c>
      <c r="M651" s="1">
        <v>7.4</v>
      </c>
      <c r="N651" s="1">
        <v>17.87</v>
      </c>
      <c r="O651" s="1">
        <v>79260000</v>
      </c>
      <c r="P651" t="s">
        <v>2282</v>
      </c>
    </row>
    <row r="652" spans="1:16" hidden="1" x14ac:dyDescent="0.3">
      <c r="A652" s="1" t="s">
        <v>1521</v>
      </c>
      <c r="B652" s="1" t="s">
        <v>37</v>
      </c>
      <c r="C652" s="1" t="s">
        <v>1522</v>
      </c>
      <c r="D652" s="1" t="s">
        <v>72</v>
      </c>
      <c r="E652" s="1" t="s">
        <v>17</v>
      </c>
      <c r="F652" s="1" t="s">
        <v>26</v>
      </c>
      <c r="G652" s="6">
        <v>44563</v>
      </c>
      <c r="H652" s="1">
        <v>1994</v>
      </c>
      <c r="I652" t="s">
        <v>55</v>
      </c>
      <c r="J652" s="1">
        <v>105</v>
      </c>
      <c r="K652" s="1" t="s">
        <v>28</v>
      </c>
      <c r="L652" s="1" t="s">
        <v>41</v>
      </c>
      <c r="M652" s="1">
        <v>1.3</v>
      </c>
      <c r="N652" s="1">
        <v>105.77</v>
      </c>
      <c r="O652" s="1">
        <v>32690000</v>
      </c>
      <c r="P652" t="s">
        <v>2281</v>
      </c>
    </row>
    <row r="653" spans="1:16" hidden="1" x14ac:dyDescent="0.3">
      <c r="A653" s="1" t="s">
        <v>1523</v>
      </c>
      <c r="B653" s="1" t="s">
        <v>37</v>
      </c>
      <c r="C653" s="1" t="s">
        <v>1524</v>
      </c>
      <c r="D653" s="1" t="s">
        <v>72</v>
      </c>
      <c r="E653" s="1" t="s">
        <v>114</v>
      </c>
      <c r="F653" s="1" t="s">
        <v>158</v>
      </c>
      <c r="G653" s="6">
        <v>42872</v>
      </c>
      <c r="H653" s="1">
        <v>2023</v>
      </c>
      <c r="I653" t="s">
        <v>19</v>
      </c>
      <c r="J653" s="1">
        <v>105</v>
      </c>
      <c r="K653" s="1" t="s">
        <v>28</v>
      </c>
      <c r="L653" s="1" t="s">
        <v>46</v>
      </c>
      <c r="M653" s="1">
        <v>1.5</v>
      </c>
      <c r="N653" s="1">
        <v>8.08</v>
      </c>
      <c r="O653" s="1">
        <v>24151000</v>
      </c>
      <c r="P653" t="s">
        <v>2281</v>
      </c>
    </row>
    <row r="654" spans="1:16" hidden="1" x14ac:dyDescent="0.3">
      <c r="A654" s="1" t="s">
        <v>1525</v>
      </c>
      <c r="B654" s="1" t="s">
        <v>37</v>
      </c>
      <c r="C654" s="1" t="s">
        <v>1526</v>
      </c>
      <c r="D654" s="1" t="s">
        <v>49</v>
      </c>
      <c r="E654" s="1" t="s">
        <v>1493</v>
      </c>
      <c r="F654" s="1" t="s">
        <v>76</v>
      </c>
      <c r="G654" s="6">
        <v>42040</v>
      </c>
      <c r="H654" s="1">
        <v>2004</v>
      </c>
      <c r="I654" t="s">
        <v>55</v>
      </c>
      <c r="J654" s="1">
        <v>85</v>
      </c>
      <c r="K654" s="1" t="s">
        <v>28</v>
      </c>
      <c r="L654" s="1" t="s">
        <v>35</v>
      </c>
      <c r="M654" s="1">
        <v>9.4</v>
      </c>
      <c r="N654" s="1">
        <v>117.6</v>
      </c>
      <c r="O654" s="1">
        <v>18660000</v>
      </c>
      <c r="P654" t="s">
        <v>2282</v>
      </c>
    </row>
    <row r="655" spans="1:16" hidden="1" x14ac:dyDescent="0.3">
      <c r="A655" s="1" t="s">
        <v>1527</v>
      </c>
      <c r="B655" s="1" t="s">
        <v>37</v>
      </c>
      <c r="C655" s="1" t="s">
        <v>1528</v>
      </c>
      <c r="D655" s="1" t="s">
        <v>62</v>
      </c>
      <c r="E655" s="1" t="s">
        <v>144</v>
      </c>
      <c r="F655" s="1" t="s">
        <v>76</v>
      </c>
      <c r="G655" s="6">
        <v>43983</v>
      </c>
      <c r="H655" s="1">
        <v>2006</v>
      </c>
      <c r="I655" t="s">
        <v>77</v>
      </c>
      <c r="J655" s="1">
        <v>96</v>
      </c>
      <c r="K655" s="1" t="s">
        <v>28</v>
      </c>
      <c r="L655" s="1" t="s">
        <v>35</v>
      </c>
      <c r="M655" s="1">
        <v>4.4000000000000004</v>
      </c>
      <c r="N655" s="1">
        <v>23.31</v>
      </c>
      <c r="O655" s="1">
        <v>45363000</v>
      </c>
      <c r="P655" t="s">
        <v>2282</v>
      </c>
    </row>
    <row r="656" spans="1:16" hidden="1" x14ac:dyDescent="0.3">
      <c r="A656" s="1" t="s">
        <v>1529</v>
      </c>
      <c r="B656" s="1" t="s">
        <v>37</v>
      </c>
      <c r="C656" s="1" t="s">
        <v>1530</v>
      </c>
      <c r="D656" s="1" t="s">
        <v>24</v>
      </c>
      <c r="E656" s="1" t="s">
        <v>120</v>
      </c>
      <c r="F656" s="1" t="s">
        <v>18</v>
      </c>
      <c r="G656" s="6">
        <v>42732</v>
      </c>
      <c r="H656" s="1">
        <v>1990</v>
      </c>
      <c r="I656" t="s">
        <v>55</v>
      </c>
      <c r="J656" s="1">
        <v>124</v>
      </c>
      <c r="K656" s="1" t="s">
        <v>28</v>
      </c>
      <c r="L656" s="1" t="s">
        <v>35</v>
      </c>
      <c r="M656" s="1">
        <v>2.2999999999999998</v>
      </c>
      <c r="N656" s="1">
        <v>107.79</v>
      </c>
      <c r="O656" s="1">
        <v>24511000</v>
      </c>
      <c r="P656" t="s">
        <v>2281</v>
      </c>
    </row>
    <row r="657" spans="1:16" hidden="1" x14ac:dyDescent="0.3">
      <c r="A657" s="1" t="s">
        <v>1531</v>
      </c>
      <c r="B657" s="1" t="s">
        <v>37</v>
      </c>
      <c r="C657" s="1" t="s">
        <v>1532</v>
      </c>
      <c r="D657" s="1" t="s">
        <v>72</v>
      </c>
      <c r="E657" s="1" t="s">
        <v>1193</v>
      </c>
      <c r="F657" s="1" t="s">
        <v>51</v>
      </c>
      <c r="G657" s="6">
        <v>44255</v>
      </c>
      <c r="H657" s="1">
        <v>2009</v>
      </c>
      <c r="I657" t="s">
        <v>27</v>
      </c>
      <c r="J657" s="1">
        <v>149</v>
      </c>
      <c r="K657" s="1" t="s">
        <v>28</v>
      </c>
      <c r="L657" s="1" t="s">
        <v>52</v>
      </c>
      <c r="M657" s="1">
        <v>3.3</v>
      </c>
      <c r="N657" s="1">
        <v>7.07</v>
      </c>
      <c r="O657" s="1">
        <v>85526000</v>
      </c>
      <c r="P657" t="s">
        <v>2282</v>
      </c>
    </row>
    <row r="658" spans="1:16" x14ac:dyDescent="0.3">
      <c r="A658" s="1" t="s">
        <v>1533</v>
      </c>
      <c r="B658" s="1" t="s">
        <v>14</v>
      </c>
      <c r="C658" s="1" t="s">
        <v>1534</v>
      </c>
      <c r="D658" s="1" t="s">
        <v>39</v>
      </c>
      <c r="E658" s="1" t="s">
        <v>400</v>
      </c>
      <c r="F658" s="1" t="s">
        <v>33</v>
      </c>
      <c r="G658" s="6">
        <v>42654</v>
      </c>
      <c r="H658" s="1">
        <v>2005</v>
      </c>
      <c r="I658" t="s">
        <v>19</v>
      </c>
      <c r="J658" s="1">
        <v>3</v>
      </c>
      <c r="K658" s="1" t="s">
        <v>20</v>
      </c>
      <c r="L658" s="1" t="s">
        <v>21</v>
      </c>
      <c r="M658" s="1">
        <v>9.3000000000000007</v>
      </c>
      <c r="N658" s="1">
        <v>59.07</v>
      </c>
      <c r="O658" s="1">
        <v>35651000</v>
      </c>
      <c r="P658" t="s">
        <v>2281</v>
      </c>
    </row>
    <row r="659" spans="1:16" hidden="1" x14ac:dyDescent="0.3">
      <c r="A659" s="1" t="s">
        <v>1535</v>
      </c>
      <c r="B659" s="1" t="s">
        <v>37</v>
      </c>
      <c r="C659" s="1" t="s">
        <v>1536</v>
      </c>
      <c r="D659" s="1" t="s">
        <v>62</v>
      </c>
      <c r="E659" s="1" t="s">
        <v>75</v>
      </c>
      <c r="F659" s="1" t="s">
        <v>158</v>
      </c>
      <c r="G659" s="6">
        <v>42888</v>
      </c>
      <c r="H659" s="1">
        <v>2023</v>
      </c>
      <c r="I659" t="s">
        <v>34</v>
      </c>
      <c r="J659" s="1">
        <v>174</v>
      </c>
      <c r="K659" s="1" t="s">
        <v>28</v>
      </c>
      <c r="L659" s="1" t="s">
        <v>35</v>
      </c>
      <c r="M659" s="1">
        <v>2</v>
      </c>
      <c r="N659" s="1">
        <v>124.42</v>
      </c>
      <c r="O659" s="1">
        <v>78249000</v>
      </c>
      <c r="P659" t="s">
        <v>2282</v>
      </c>
    </row>
    <row r="660" spans="1:16" x14ac:dyDescent="0.3">
      <c r="A660" s="1" t="s">
        <v>1537</v>
      </c>
      <c r="B660" s="1" t="s">
        <v>14</v>
      </c>
      <c r="C660" s="1" t="s">
        <v>1538</v>
      </c>
      <c r="D660" s="1" t="s">
        <v>72</v>
      </c>
      <c r="E660" s="1" t="s">
        <v>123</v>
      </c>
      <c r="F660" s="1" t="s">
        <v>33</v>
      </c>
      <c r="G660" s="6">
        <v>44685</v>
      </c>
      <c r="H660" s="1">
        <v>2009</v>
      </c>
      <c r="I660" t="s">
        <v>89</v>
      </c>
      <c r="J660" s="1">
        <v>2</v>
      </c>
      <c r="K660" s="1" t="s">
        <v>20</v>
      </c>
      <c r="L660" s="1" t="s">
        <v>52</v>
      </c>
      <c r="M660" s="1">
        <v>5.3</v>
      </c>
      <c r="N660" s="1">
        <v>76.5</v>
      </c>
      <c r="O660" s="1">
        <v>80837000</v>
      </c>
      <c r="P660" t="s">
        <v>2282</v>
      </c>
    </row>
    <row r="661" spans="1:16" hidden="1" x14ac:dyDescent="0.3">
      <c r="A661" s="1" t="s">
        <v>1539</v>
      </c>
      <c r="B661" s="1" t="s">
        <v>37</v>
      </c>
      <c r="C661" s="1" t="s">
        <v>1540</v>
      </c>
      <c r="D661" s="1" t="s">
        <v>62</v>
      </c>
      <c r="E661" s="1" t="s">
        <v>123</v>
      </c>
      <c r="F661" s="1" t="s">
        <v>33</v>
      </c>
      <c r="G661" s="6">
        <v>42480</v>
      </c>
      <c r="H661" s="1">
        <v>1991</v>
      </c>
      <c r="I661" t="s">
        <v>55</v>
      </c>
      <c r="J661" s="1">
        <v>175</v>
      </c>
      <c r="K661" s="1" t="s">
        <v>28</v>
      </c>
      <c r="L661" s="1" t="s">
        <v>52</v>
      </c>
      <c r="M661" s="1">
        <v>7.6</v>
      </c>
      <c r="N661" s="1">
        <v>110.39</v>
      </c>
      <c r="O661" s="1">
        <v>75556000</v>
      </c>
      <c r="P661" t="s">
        <v>2281</v>
      </c>
    </row>
    <row r="662" spans="1:16" hidden="1" x14ac:dyDescent="0.3">
      <c r="A662" s="1" t="s">
        <v>1541</v>
      </c>
      <c r="B662" s="1" t="s">
        <v>37</v>
      </c>
      <c r="C662" s="1" t="s">
        <v>1542</v>
      </c>
      <c r="D662" s="1" t="s">
        <v>39</v>
      </c>
      <c r="E662" s="1" t="s">
        <v>138</v>
      </c>
      <c r="F662" s="1" t="s">
        <v>33</v>
      </c>
      <c r="G662" s="6">
        <v>42639</v>
      </c>
      <c r="H662" s="1">
        <v>2007</v>
      </c>
      <c r="I662" t="s">
        <v>77</v>
      </c>
      <c r="J662" s="1">
        <v>156</v>
      </c>
      <c r="K662" s="1" t="s">
        <v>28</v>
      </c>
      <c r="L662" s="1" t="s">
        <v>41</v>
      </c>
      <c r="M662" s="1">
        <v>1.7</v>
      </c>
      <c r="N662" s="1">
        <v>101.4</v>
      </c>
      <c r="O662" s="1">
        <v>24504000</v>
      </c>
      <c r="P662" t="s">
        <v>2282</v>
      </c>
    </row>
    <row r="663" spans="1:16" hidden="1" x14ac:dyDescent="0.3">
      <c r="A663" s="1" t="s">
        <v>1543</v>
      </c>
      <c r="B663" s="1" t="s">
        <v>37</v>
      </c>
      <c r="C663" s="1" t="s">
        <v>1544</v>
      </c>
      <c r="D663" s="1" t="s">
        <v>39</v>
      </c>
      <c r="E663" s="1" t="s">
        <v>175</v>
      </c>
      <c r="F663" s="1" t="s">
        <v>158</v>
      </c>
      <c r="G663" s="6">
        <v>45234</v>
      </c>
      <c r="H663" s="1">
        <v>2021</v>
      </c>
      <c r="I663" t="s">
        <v>27</v>
      </c>
      <c r="J663" s="1">
        <v>173</v>
      </c>
      <c r="K663" s="1" t="s">
        <v>28</v>
      </c>
      <c r="L663" s="1" t="s">
        <v>46</v>
      </c>
      <c r="M663" s="1">
        <v>3</v>
      </c>
      <c r="N663" s="1">
        <v>47.45</v>
      </c>
      <c r="O663" s="1">
        <v>76745000</v>
      </c>
      <c r="P663" t="s">
        <v>2281</v>
      </c>
    </row>
    <row r="664" spans="1:16" x14ac:dyDescent="0.3">
      <c r="A664" s="1" t="s">
        <v>1545</v>
      </c>
      <c r="B664" s="1" t="s">
        <v>14</v>
      </c>
      <c r="C664" s="1" t="s">
        <v>1546</v>
      </c>
      <c r="D664" s="1" t="s">
        <v>24</v>
      </c>
      <c r="E664" s="1" t="s">
        <v>1547</v>
      </c>
      <c r="F664" s="1" t="s">
        <v>76</v>
      </c>
      <c r="G664" s="6">
        <v>42959</v>
      </c>
      <c r="H664" s="1">
        <v>2010</v>
      </c>
      <c r="I664" t="s">
        <v>19</v>
      </c>
      <c r="J664" s="1">
        <v>8</v>
      </c>
      <c r="K664" s="1" t="s">
        <v>20</v>
      </c>
      <c r="L664" s="1" t="s">
        <v>35</v>
      </c>
      <c r="M664" s="1">
        <v>2.2999999999999998</v>
      </c>
      <c r="N664" s="1">
        <v>140.59</v>
      </c>
      <c r="O664" s="1">
        <v>35728000</v>
      </c>
      <c r="P664" t="s">
        <v>2281</v>
      </c>
    </row>
    <row r="665" spans="1:16" hidden="1" x14ac:dyDescent="0.3">
      <c r="A665" s="1" t="s">
        <v>1548</v>
      </c>
      <c r="B665" s="1" t="s">
        <v>37</v>
      </c>
      <c r="C665" s="1" t="s">
        <v>1549</v>
      </c>
      <c r="D665" s="1" t="s">
        <v>72</v>
      </c>
      <c r="E665" s="1" t="s">
        <v>72</v>
      </c>
      <c r="F665" s="1" t="s">
        <v>26</v>
      </c>
      <c r="G665" s="6">
        <v>44680</v>
      </c>
      <c r="H665" s="1">
        <v>2001</v>
      </c>
      <c r="I665" t="s">
        <v>89</v>
      </c>
      <c r="J665" s="1">
        <v>82</v>
      </c>
      <c r="K665" s="1" t="s">
        <v>28</v>
      </c>
      <c r="L665" s="1" t="s">
        <v>46</v>
      </c>
      <c r="M665" s="1">
        <v>999</v>
      </c>
      <c r="N665" s="1">
        <v>47.49</v>
      </c>
      <c r="O665" s="1">
        <v>12804000</v>
      </c>
      <c r="P665" t="s">
        <v>2282</v>
      </c>
    </row>
    <row r="666" spans="1:16" hidden="1" x14ac:dyDescent="0.3">
      <c r="A666" s="1" t="s">
        <v>1550</v>
      </c>
      <c r="B666" s="1" t="s">
        <v>37</v>
      </c>
      <c r="C666" s="1" t="s">
        <v>1551</v>
      </c>
      <c r="D666" s="1" t="s">
        <v>49</v>
      </c>
      <c r="E666" s="1" t="s">
        <v>1140</v>
      </c>
      <c r="F666" s="1" t="s">
        <v>158</v>
      </c>
      <c r="G666" s="6">
        <v>43109</v>
      </c>
      <c r="H666" s="1">
        <v>2009</v>
      </c>
      <c r="I666" t="s">
        <v>89</v>
      </c>
      <c r="J666" s="1">
        <v>62</v>
      </c>
      <c r="K666" s="1" t="s">
        <v>28</v>
      </c>
      <c r="L666" s="1" t="s">
        <v>35</v>
      </c>
      <c r="M666" s="1">
        <v>7</v>
      </c>
      <c r="N666" s="1">
        <v>3.34</v>
      </c>
      <c r="O666" s="1">
        <v>88304000</v>
      </c>
      <c r="P666" t="s">
        <v>2282</v>
      </c>
    </row>
    <row r="667" spans="1:16" hidden="1" x14ac:dyDescent="0.3">
      <c r="A667" s="1" t="s">
        <v>1552</v>
      </c>
      <c r="B667" s="1" t="s">
        <v>37</v>
      </c>
      <c r="C667" s="1" t="s">
        <v>1553</v>
      </c>
      <c r="D667" s="1" t="s">
        <v>16</v>
      </c>
      <c r="E667" s="1" t="s">
        <v>50</v>
      </c>
      <c r="F667" s="1" t="s">
        <v>76</v>
      </c>
      <c r="G667" s="6">
        <v>42544</v>
      </c>
      <c r="H667" s="1">
        <v>1994</v>
      </c>
      <c r="I667" t="s">
        <v>77</v>
      </c>
      <c r="J667" s="1">
        <v>175</v>
      </c>
      <c r="K667" s="1" t="s">
        <v>28</v>
      </c>
      <c r="L667" s="1" t="s">
        <v>35</v>
      </c>
      <c r="M667" s="1">
        <v>5.9</v>
      </c>
      <c r="N667" s="1">
        <v>86.41</v>
      </c>
      <c r="O667" s="1">
        <v>48428000</v>
      </c>
      <c r="P667" t="s">
        <v>2282</v>
      </c>
    </row>
    <row r="668" spans="1:16" hidden="1" x14ac:dyDescent="0.3">
      <c r="A668" s="1" t="s">
        <v>1554</v>
      </c>
      <c r="B668" s="1" t="s">
        <v>37</v>
      </c>
      <c r="C668" s="1" t="s">
        <v>1555</v>
      </c>
      <c r="D668" s="1" t="s">
        <v>72</v>
      </c>
      <c r="E668" s="1" t="s">
        <v>40</v>
      </c>
      <c r="F668" s="1" t="s">
        <v>45</v>
      </c>
      <c r="G668" s="6">
        <v>42632</v>
      </c>
      <c r="H668" s="1">
        <v>2003</v>
      </c>
      <c r="I668" t="s">
        <v>77</v>
      </c>
      <c r="J668" s="1">
        <v>104</v>
      </c>
      <c r="K668" s="1" t="s">
        <v>28</v>
      </c>
      <c r="L668" s="1" t="s">
        <v>52</v>
      </c>
      <c r="M668" s="1">
        <v>5.9</v>
      </c>
      <c r="N668" s="1">
        <v>120.81</v>
      </c>
      <c r="O668" s="1">
        <v>57157000</v>
      </c>
      <c r="P668" t="s">
        <v>2281</v>
      </c>
    </row>
    <row r="669" spans="1:16" hidden="1" x14ac:dyDescent="0.3">
      <c r="A669" s="1" t="s">
        <v>1556</v>
      </c>
      <c r="B669" s="1" t="s">
        <v>37</v>
      </c>
      <c r="C669" s="1" t="s">
        <v>1557</v>
      </c>
      <c r="D669" s="1" t="s">
        <v>31</v>
      </c>
      <c r="E669" s="1" t="s">
        <v>1558</v>
      </c>
      <c r="F669" s="1" t="s">
        <v>18</v>
      </c>
      <c r="G669" s="6">
        <v>43926</v>
      </c>
      <c r="H669" s="1">
        <v>2007</v>
      </c>
      <c r="I669" t="s">
        <v>34</v>
      </c>
      <c r="J669" s="1">
        <v>93</v>
      </c>
      <c r="K669" s="1" t="s">
        <v>28</v>
      </c>
      <c r="L669" s="1" t="s">
        <v>35</v>
      </c>
      <c r="M669" s="1">
        <v>9.9</v>
      </c>
      <c r="N669" s="1">
        <v>96.31</v>
      </c>
      <c r="O669" s="1">
        <v>13868000</v>
      </c>
      <c r="P669" t="s">
        <v>2281</v>
      </c>
    </row>
    <row r="670" spans="1:16" hidden="1" x14ac:dyDescent="0.3">
      <c r="A670" s="1" t="s">
        <v>1559</v>
      </c>
      <c r="B670" s="1" t="s">
        <v>37</v>
      </c>
      <c r="C670" s="1" t="s">
        <v>1560</v>
      </c>
      <c r="D670" s="1" t="s">
        <v>24</v>
      </c>
      <c r="E670" s="1" t="s">
        <v>1561</v>
      </c>
      <c r="F670" s="1" t="s">
        <v>26</v>
      </c>
      <c r="G670" s="6">
        <v>43923</v>
      </c>
      <c r="H670" s="1">
        <v>2006</v>
      </c>
      <c r="I670" t="s">
        <v>27</v>
      </c>
      <c r="J670" s="1">
        <v>168</v>
      </c>
      <c r="K670" s="1" t="s">
        <v>28</v>
      </c>
      <c r="L670" s="1" t="s">
        <v>35</v>
      </c>
      <c r="M670" s="1">
        <v>2.1</v>
      </c>
      <c r="N670" s="1">
        <v>91.62</v>
      </c>
      <c r="O670" s="1">
        <v>55825000</v>
      </c>
      <c r="P670" t="s">
        <v>2282</v>
      </c>
    </row>
    <row r="671" spans="1:16" x14ac:dyDescent="0.3">
      <c r="A671" s="1" t="s">
        <v>1562</v>
      </c>
      <c r="B671" s="1" t="s">
        <v>14</v>
      </c>
      <c r="C671" s="1" t="s">
        <v>1563</v>
      </c>
      <c r="D671" s="1" t="s">
        <v>24</v>
      </c>
      <c r="E671" s="1" t="s">
        <v>40</v>
      </c>
      <c r="F671" s="1" t="s">
        <v>45</v>
      </c>
      <c r="G671" s="6">
        <v>42176</v>
      </c>
      <c r="H671" s="1">
        <v>1991</v>
      </c>
      <c r="I671" t="s">
        <v>34</v>
      </c>
      <c r="J671" s="1">
        <v>1</v>
      </c>
      <c r="K671" s="1" t="s">
        <v>20</v>
      </c>
      <c r="L671" s="1" t="s">
        <v>69</v>
      </c>
      <c r="M671" s="1">
        <v>5.9</v>
      </c>
      <c r="N671" s="1">
        <v>137.49</v>
      </c>
      <c r="O671" s="1">
        <v>35251000</v>
      </c>
      <c r="P671" t="s">
        <v>2282</v>
      </c>
    </row>
    <row r="672" spans="1:16" x14ac:dyDescent="0.3">
      <c r="A672" s="1" t="s">
        <v>1564</v>
      </c>
      <c r="B672" s="1" t="s">
        <v>14</v>
      </c>
      <c r="C672" s="1" t="s">
        <v>1565</v>
      </c>
      <c r="D672" s="1" t="s">
        <v>39</v>
      </c>
      <c r="E672" s="1" t="s">
        <v>1566</v>
      </c>
      <c r="F672" s="1" t="s">
        <v>51</v>
      </c>
      <c r="G672" s="6">
        <v>42583</v>
      </c>
      <c r="H672" s="1">
        <v>2013</v>
      </c>
      <c r="I672" t="s">
        <v>77</v>
      </c>
      <c r="J672" s="1">
        <v>2</v>
      </c>
      <c r="K672" s="1" t="s">
        <v>20</v>
      </c>
      <c r="L672" s="1" t="s">
        <v>21</v>
      </c>
      <c r="M672" s="1">
        <v>5.5</v>
      </c>
      <c r="N672" s="1">
        <v>76.81</v>
      </c>
      <c r="O672" s="1">
        <v>86538000</v>
      </c>
      <c r="P672" t="s">
        <v>2281</v>
      </c>
    </row>
    <row r="673" spans="1:16" hidden="1" x14ac:dyDescent="0.3">
      <c r="A673" s="1" t="s">
        <v>1567</v>
      </c>
      <c r="B673" s="1" t="s">
        <v>37</v>
      </c>
      <c r="C673" s="1" t="s">
        <v>1568</v>
      </c>
      <c r="D673" s="1" t="s">
        <v>62</v>
      </c>
      <c r="E673" s="1" t="s">
        <v>50</v>
      </c>
      <c r="F673" s="1" t="s">
        <v>51</v>
      </c>
      <c r="G673" s="6">
        <v>44477</v>
      </c>
      <c r="H673" s="1">
        <v>2004</v>
      </c>
      <c r="I673" t="s">
        <v>55</v>
      </c>
      <c r="J673" s="1">
        <v>103</v>
      </c>
      <c r="K673" s="1" t="s">
        <v>28</v>
      </c>
      <c r="L673" s="1" t="s">
        <v>46</v>
      </c>
      <c r="M673" s="1">
        <v>5.8</v>
      </c>
      <c r="N673" s="1">
        <v>84.69</v>
      </c>
      <c r="O673" s="1">
        <v>41297000</v>
      </c>
      <c r="P673" t="s">
        <v>2282</v>
      </c>
    </row>
    <row r="674" spans="1:16" hidden="1" x14ac:dyDescent="0.3">
      <c r="A674" s="1" t="s">
        <v>1569</v>
      </c>
      <c r="B674" s="1" t="s">
        <v>37</v>
      </c>
      <c r="C674" s="1" t="s">
        <v>1570</v>
      </c>
      <c r="D674" s="1" t="s">
        <v>16</v>
      </c>
      <c r="E674" s="1" t="s">
        <v>40</v>
      </c>
      <c r="F674" s="1" t="s">
        <v>33</v>
      </c>
      <c r="G674" s="6">
        <v>42197</v>
      </c>
      <c r="H674" s="1">
        <v>1990</v>
      </c>
      <c r="I674" t="s">
        <v>27</v>
      </c>
      <c r="J674" s="1">
        <v>102</v>
      </c>
      <c r="K674" s="1" t="s">
        <v>28</v>
      </c>
      <c r="L674" s="1" t="s">
        <v>69</v>
      </c>
      <c r="M674" s="1">
        <v>7.1</v>
      </c>
      <c r="N674" s="1">
        <v>54.17</v>
      </c>
      <c r="O674" s="1">
        <v>51635000</v>
      </c>
      <c r="P674" t="s">
        <v>2282</v>
      </c>
    </row>
    <row r="675" spans="1:16" x14ac:dyDescent="0.3">
      <c r="A675" s="1" t="s">
        <v>1571</v>
      </c>
      <c r="B675" s="1" t="s">
        <v>14</v>
      </c>
      <c r="C675" s="1" t="s">
        <v>1572</v>
      </c>
      <c r="D675" s="1" t="s">
        <v>31</v>
      </c>
      <c r="E675" s="1" t="s">
        <v>123</v>
      </c>
      <c r="F675" s="1" t="s">
        <v>158</v>
      </c>
      <c r="G675" s="6">
        <v>44553</v>
      </c>
      <c r="H675" s="1">
        <v>2014</v>
      </c>
      <c r="I675" t="s">
        <v>34</v>
      </c>
      <c r="J675" s="1">
        <v>10</v>
      </c>
      <c r="K675" s="1" t="s">
        <v>20</v>
      </c>
      <c r="L675" s="1" t="s">
        <v>41</v>
      </c>
      <c r="M675" s="1">
        <v>7.7</v>
      </c>
      <c r="N675" s="1">
        <v>54.95</v>
      </c>
      <c r="O675" s="1">
        <v>9567000</v>
      </c>
      <c r="P675" t="s">
        <v>2281</v>
      </c>
    </row>
    <row r="676" spans="1:16" x14ac:dyDescent="0.3">
      <c r="A676" s="1" t="s">
        <v>1573</v>
      </c>
      <c r="B676" s="1" t="s">
        <v>14</v>
      </c>
      <c r="C676" s="1" t="s">
        <v>1574</v>
      </c>
      <c r="D676" s="1" t="s">
        <v>16</v>
      </c>
      <c r="E676" s="1" t="s">
        <v>1397</v>
      </c>
      <c r="F676" s="1" t="s">
        <v>33</v>
      </c>
      <c r="G676" s="6">
        <v>42022</v>
      </c>
      <c r="H676" s="1">
        <v>2012</v>
      </c>
      <c r="I676" t="s">
        <v>19</v>
      </c>
      <c r="J676" s="1">
        <v>6</v>
      </c>
      <c r="K676" s="1" t="s">
        <v>20</v>
      </c>
      <c r="L676" s="1" t="s">
        <v>41</v>
      </c>
      <c r="M676" s="1">
        <v>9.9</v>
      </c>
      <c r="N676" s="1">
        <v>124.28</v>
      </c>
      <c r="O676" s="1">
        <v>72549000</v>
      </c>
      <c r="P676" t="s">
        <v>2281</v>
      </c>
    </row>
    <row r="677" spans="1:16" x14ac:dyDescent="0.3">
      <c r="A677" s="1" t="s">
        <v>1575</v>
      </c>
      <c r="B677" s="1" t="s">
        <v>14</v>
      </c>
      <c r="C677" s="1" t="s">
        <v>1576</v>
      </c>
      <c r="D677" s="1" t="s">
        <v>31</v>
      </c>
      <c r="E677" s="1" t="s">
        <v>75</v>
      </c>
      <c r="F677" s="1" t="s">
        <v>76</v>
      </c>
      <c r="G677" s="6">
        <v>42093</v>
      </c>
      <c r="H677" s="1">
        <v>1997</v>
      </c>
      <c r="I677" t="s">
        <v>55</v>
      </c>
      <c r="J677" s="1">
        <v>2</v>
      </c>
      <c r="K677" s="1" t="s">
        <v>20</v>
      </c>
      <c r="L677" s="1" t="s">
        <v>41</v>
      </c>
      <c r="M677" s="1">
        <v>4.7</v>
      </c>
      <c r="N677" s="1">
        <v>126.71</v>
      </c>
      <c r="O677" s="1">
        <v>49586000</v>
      </c>
      <c r="P677" t="s">
        <v>2281</v>
      </c>
    </row>
    <row r="678" spans="1:16" hidden="1" x14ac:dyDescent="0.3">
      <c r="A678" s="1" t="s">
        <v>1577</v>
      </c>
      <c r="B678" s="1" t="s">
        <v>37</v>
      </c>
      <c r="C678" s="1" t="s">
        <v>1578</v>
      </c>
      <c r="D678" s="1" t="s">
        <v>24</v>
      </c>
      <c r="E678" s="1" t="s">
        <v>123</v>
      </c>
      <c r="F678" s="1" t="s">
        <v>45</v>
      </c>
      <c r="G678" s="6">
        <v>42445</v>
      </c>
      <c r="H678" s="1">
        <v>2021</v>
      </c>
      <c r="I678" t="s">
        <v>19</v>
      </c>
      <c r="J678" s="1">
        <v>122</v>
      </c>
      <c r="K678" s="1" t="s">
        <v>28</v>
      </c>
      <c r="L678" s="1" t="s">
        <v>46</v>
      </c>
      <c r="M678" s="1">
        <v>3.5</v>
      </c>
      <c r="N678" s="1">
        <v>4.8</v>
      </c>
      <c r="O678" s="1">
        <v>47474000</v>
      </c>
      <c r="P678" t="s">
        <v>2282</v>
      </c>
    </row>
    <row r="679" spans="1:16" x14ac:dyDescent="0.3">
      <c r="A679" s="1" t="s">
        <v>1579</v>
      </c>
      <c r="B679" s="1" t="s">
        <v>14</v>
      </c>
      <c r="C679" s="1" t="s">
        <v>1580</v>
      </c>
      <c r="D679" s="1" t="s">
        <v>31</v>
      </c>
      <c r="E679" s="1" t="s">
        <v>484</v>
      </c>
      <c r="F679" s="1" t="s">
        <v>18</v>
      </c>
      <c r="G679" s="6">
        <v>44045</v>
      </c>
      <c r="H679" s="1">
        <v>1995</v>
      </c>
      <c r="I679" t="s">
        <v>34</v>
      </c>
      <c r="J679" s="1">
        <v>6</v>
      </c>
      <c r="K679" s="1" t="s">
        <v>20</v>
      </c>
      <c r="L679" s="1" t="s">
        <v>69</v>
      </c>
      <c r="M679" s="1">
        <v>6</v>
      </c>
      <c r="N679" s="1">
        <v>29.5</v>
      </c>
      <c r="O679" s="1">
        <v>75607000</v>
      </c>
      <c r="P679" t="s">
        <v>2281</v>
      </c>
    </row>
    <row r="680" spans="1:16" hidden="1" x14ac:dyDescent="0.3">
      <c r="A680" s="1" t="s">
        <v>1581</v>
      </c>
      <c r="B680" s="1" t="s">
        <v>37</v>
      </c>
      <c r="C680" s="1" t="s">
        <v>1582</v>
      </c>
      <c r="D680" s="1" t="s">
        <v>16</v>
      </c>
      <c r="E680" s="1" t="s">
        <v>1566</v>
      </c>
      <c r="F680" s="1" t="s">
        <v>26</v>
      </c>
      <c r="G680" s="6">
        <v>43989</v>
      </c>
      <c r="H680" s="1">
        <v>2008</v>
      </c>
      <c r="I680" t="s">
        <v>55</v>
      </c>
      <c r="J680" s="1">
        <v>145</v>
      </c>
      <c r="K680" s="1" t="s">
        <v>28</v>
      </c>
      <c r="L680" s="1" t="s">
        <v>41</v>
      </c>
      <c r="M680" s="1">
        <v>1.9</v>
      </c>
      <c r="N680" s="1">
        <v>108.3</v>
      </c>
      <c r="O680" s="1">
        <v>11376000</v>
      </c>
      <c r="P680" t="s">
        <v>2282</v>
      </c>
    </row>
    <row r="681" spans="1:16" x14ac:dyDescent="0.3">
      <c r="A681" s="1" t="s">
        <v>1583</v>
      </c>
      <c r="B681" s="1" t="s">
        <v>14</v>
      </c>
      <c r="C681" s="1" t="s">
        <v>1584</v>
      </c>
      <c r="D681" s="1" t="s">
        <v>72</v>
      </c>
      <c r="E681" s="1" t="s">
        <v>72</v>
      </c>
      <c r="F681" s="1" t="s">
        <v>18</v>
      </c>
      <c r="G681" s="6">
        <v>42650</v>
      </c>
      <c r="H681" s="1">
        <v>2008</v>
      </c>
      <c r="I681" t="s">
        <v>77</v>
      </c>
      <c r="J681" s="1">
        <v>3</v>
      </c>
      <c r="K681" s="1" t="s">
        <v>20</v>
      </c>
      <c r="L681" s="1" t="s">
        <v>35</v>
      </c>
      <c r="M681" s="1">
        <v>5.3</v>
      </c>
      <c r="N681" s="1">
        <v>141.83000000000001</v>
      </c>
      <c r="O681" s="1">
        <v>62929000</v>
      </c>
      <c r="P681" t="s">
        <v>2282</v>
      </c>
    </row>
    <row r="682" spans="1:16" hidden="1" x14ac:dyDescent="0.3">
      <c r="A682" s="1" t="s">
        <v>1585</v>
      </c>
      <c r="B682" s="1" t="s">
        <v>37</v>
      </c>
      <c r="C682" s="1" t="s">
        <v>1586</v>
      </c>
      <c r="D682" s="1" t="s">
        <v>72</v>
      </c>
      <c r="E682" s="1" t="s">
        <v>72</v>
      </c>
      <c r="F682" s="1" t="s">
        <v>76</v>
      </c>
      <c r="G682" s="6">
        <v>43085</v>
      </c>
      <c r="H682" s="1">
        <v>1995</v>
      </c>
      <c r="I682" t="s">
        <v>89</v>
      </c>
      <c r="J682" s="1">
        <v>102</v>
      </c>
      <c r="K682" s="1" t="s">
        <v>28</v>
      </c>
      <c r="L682" s="1" t="s">
        <v>21</v>
      </c>
      <c r="M682" s="1">
        <v>2</v>
      </c>
      <c r="N682" s="1">
        <v>103.04</v>
      </c>
      <c r="O682" s="1">
        <v>9390000</v>
      </c>
      <c r="P682" t="s">
        <v>2282</v>
      </c>
    </row>
    <row r="683" spans="1:16" hidden="1" x14ac:dyDescent="0.3">
      <c r="A683" s="1" t="s">
        <v>1587</v>
      </c>
      <c r="B683" s="1" t="s">
        <v>37</v>
      </c>
      <c r="C683" s="1" t="s">
        <v>1588</v>
      </c>
      <c r="D683" s="1" t="s">
        <v>31</v>
      </c>
      <c r="E683" s="1" t="s">
        <v>264</v>
      </c>
      <c r="F683" s="1" t="s">
        <v>45</v>
      </c>
      <c r="G683" s="6">
        <v>43073</v>
      </c>
      <c r="H683" s="1">
        <v>2023</v>
      </c>
      <c r="I683" t="s">
        <v>77</v>
      </c>
      <c r="J683" s="1">
        <v>137</v>
      </c>
      <c r="K683" s="1" t="s">
        <v>28</v>
      </c>
      <c r="L683" s="1" t="s">
        <v>21</v>
      </c>
      <c r="M683" s="1">
        <v>7.5</v>
      </c>
      <c r="N683" s="1">
        <v>10.97</v>
      </c>
      <c r="O683" s="1">
        <v>24987000</v>
      </c>
      <c r="P683" t="s">
        <v>2281</v>
      </c>
    </row>
    <row r="684" spans="1:16" x14ac:dyDescent="0.3">
      <c r="A684" s="1" t="s">
        <v>1589</v>
      </c>
      <c r="B684" s="1" t="s">
        <v>14</v>
      </c>
      <c r="C684" s="1" t="s">
        <v>1590</v>
      </c>
      <c r="D684" s="1" t="s">
        <v>72</v>
      </c>
      <c r="E684" s="1" t="s">
        <v>1434</v>
      </c>
      <c r="F684" s="1" t="s">
        <v>18</v>
      </c>
      <c r="G684" s="6">
        <v>45064</v>
      </c>
      <c r="H684" s="1">
        <v>2014</v>
      </c>
      <c r="I684" t="s">
        <v>19</v>
      </c>
      <c r="J684" s="1">
        <v>1</v>
      </c>
      <c r="K684" s="1" t="s">
        <v>20</v>
      </c>
      <c r="L684" s="1" t="s">
        <v>35</v>
      </c>
      <c r="M684" s="1">
        <v>9.1999999999999993</v>
      </c>
      <c r="N684" s="1">
        <v>125.88</v>
      </c>
      <c r="O684" s="1">
        <v>92303000</v>
      </c>
      <c r="P684" t="s">
        <v>2281</v>
      </c>
    </row>
    <row r="685" spans="1:16" x14ac:dyDescent="0.3">
      <c r="A685" s="1" t="s">
        <v>1591</v>
      </c>
      <c r="B685" s="1" t="s">
        <v>14</v>
      </c>
      <c r="C685" s="1" t="s">
        <v>1592</v>
      </c>
      <c r="D685" s="1" t="s">
        <v>24</v>
      </c>
      <c r="E685" s="1" t="s">
        <v>50</v>
      </c>
      <c r="F685" s="1" t="s">
        <v>18</v>
      </c>
      <c r="G685" s="6">
        <v>42949</v>
      </c>
      <c r="H685" s="1">
        <v>1995</v>
      </c>
      <c r="I685" t="s">
        <v>34</v>
      </c>
      <c r="J685" s="1">
        <v>1</v>
      </c>
      <c r="K685" s="1" t="s">
        <v>20</v>
      </c>
      <c r="L685" s="1" t="s">
        <v>21</v>
      </c>
      <c r="M685" s="1">
        <v>4.5</v>
      </c>
      <c r="N685" s="1">
        <v>91.65</v>
      </c>
      <c r="O685" s="1">
        <v>35457000</v>
      </c>
      <c r="P685" t="s">
        <v>2282</v>
      </c>
    </row>
    <row r="686" spans="1:16" hidden="1" x14ac:dyDescent="0.3">
      <c r="A686" s="1" t="s">
        <v>1593</v>
      </c>
      <c r="B686" s="1" t="s">
        <v>37</v>
      </c>
      <c r="C686" s="1" t="s">
        <v>1594</v>
      </c>
      <c r="D686" s="1" t="s">
        <v>24</v>
      </c>
      <c r="E686" s="1" t="s">
        <v>1595</v>
      </c>
      <c r="F686" s="1" t="s">
        <v>18</v>
      </c>
      <c r="G686" s="6">
        <v>44316</v>
      </c>
      <c r="H686" s="1">
        <v>2015</v>
      </c>
      <c r="I686" t="s">
        <v>19</v>
      </c>
      <c r="J686" s="1">
        <v>163</v>
      </c>
      <c r="K686" s="1" t="s">
        <v>28</v>
      </c>
      <c r="L686" s="1" t="s">
        <v>52</v>
      </c>
      <c r="M686" s="1">
        <v>7.6</v>
      </c>
      <c r="N686" s="1">
        <v>34.770000000000003</v>
      </c>
      <c r="O686" s="1">
        <v>40924000</v>
      </c>
      <c r="P686" t="s">
        <v>2282</v>
      </c>
    </row>
    <row r="687" spans="1:16" hidden="1" x14ac:dyDescent="0.3">
      <c r="A687" s="1" t="s">
        <v>1596</v>
      </c>
      <c r="B687" s="1" t="s">
        <v>37</v>
      </c>
      <c r="C687" s="1" t="s">
        <v>1597</v>
      </c>
      <c r="D687" s="1" t="s">
        <v>39</v>
      </c>
      <c r="E687" s="1" t="s">
        <v>1397</v>
      </c>
      <c r="F687" s="1" t="s">
        <v>59</v>
      </c>
      <c r="G687" s="6">
        <v>44172</v>
      </c>
      <c r="H687" s="1">
        <v>2006</v>
      </c>
      <c r="I687" t="s">
        <v>19</v>
      </c>
      <c r="J687" s="1">
        <v>100</v>
      </c>
      <c r="K687" s="1" t="s">
        <v>28</v>
      </c>
      <c r="L687" s="1" t="s">
        <v>21</v>
      </c>
      <c r="M687" s="1">
        <v>5.9</v>
      </c>
      <c r="N687" s="1">
        <v>14.44</v>
      </c>
      <c r="O687" s="1">
        <v>63903000</v>
      </c>
      <c r="P687" t="s">
        <v>2282</v>
      </c>
    </row>
    <row r="688" spans="1:16" x14ac:dyDescent="0.3">
      <c r="A688" s="1" t="s">
        <v>1598</v>
      </c>
      <c r="B688" s="1" t="s">
        <v>14</v>
      </c>
      <c r="C688" s="1" t="s">
        <v>1599</v>
      </c>
      <c r="D688" s="1" t="s">
        <v>31</v>
      </c>
      <c r="E688" s="1" t="s">
        <v>344</v>
      </c>
      <c r="F688" s="1" t="s">
        <v>76</v>
      </c>
      <c r="G688" s="6">
        <v>43986</v>
      </c>
      <c r="H688" s="1">
        <v>2005</v>
      </c>
      <c r="I688" t="s">
        <v>27</v>
      </c>
      <c r="J688" s="1">
        <v>2</v>
      </c>
      <c r="K688" s="1" t="s">
        <v>20</v>
      </c>
      <c r="L688" s="1" t="s">
        <v>46</v>
      </c>
      <c r="M688" s="1">
        <v>999</v>
      </c>
      <c r="N688" s="1">
        <v>81.97</v>
      </c>
      <c r="O688" s="1">
        <v>26610000</v>
      </c>
      <c r="P688" t="s">
        <v>2282</v>
      </c>
    </row>
    <row r="689" spans="1:16" hidden="1" x14ac:dyDescent="0.3">
      <c r="A689" s="1" t="s">
        <v>1600</v>
      </c>
      <c r="B689" s="1" t="s">
        <v>37</v>
      </c>
      <c r="C689" s="1" t="s">
        <v>1601</v>
      </c>
      <c r="D689" s="1" t="s">
        <v>24</v>
      </c>
      <c r="E689" s="1" t="s">
        <v>120</v>
      </c>
      <c r="F689" s="1" t="s">
        <v>158</v>
      </c>
      <c r="G689" s="6">
        <v>43748</v>
      </c>
      <c r="H689" s="1">
        <v>2014</v>
      </c>
      <c r="I689" t="s">
        <v>89</v>
      </c>
      <c r="J689" s="1">
        <v>86</v>
      </c>
      <c r="K689" s="1" t="s">
        <v>28</v>
      </c>
      <c r="L689" s="1" t="s">
        <v>69</v>
      </c>
      <c r="M689" s="1">
        <v>7.6</v>
      </c>
      <c r="N689" s="1">
        <v>83.83</v>
      </c>
      <c r="O689" s="1">
        <v>69457000</v>
      </c>
      <c r="P689" t="s">
        <v>2282</v>
      </c>
    </row>
    <row r="690" spans="1:16" x14ac:dyDescent="0.3">
      <c r="A690" s="1" t="s">
        <v>1602</v>
      </c>
      <c r="B690" s="1" t="s">
        <v>14</v>
      </c>
      <c r="C690" s="1" t="s">
        <v>1603</v>
      </c>
      <c r="D690" s="1" t="s">
        <v>62</v>
      </c>
      <c r="E690" s="1" t="s">
        <v>1193</v>
      </c>
      <c r="F690" s="1" t="s">
        <v>33</v>
      </c>
      <c r="G690" s="6">
        <v>43067</v>
      </c>
      <c r="H690" s="1">
        <v>2001</v>
      </c>
      <c r="I690" t="s">
        <v>89</v>
      </c>
      <c r="J690" s="1">
        <v>4</v>
      </c>
      <c r="K690" s="1" t="s">
        <v>20</v>
      </c>
      <c r="L690" s="1" t="s">
        <v>21</v>
      </c>
      <c r="M690" s="1">
        <v>8.5</v>
      </c>
      <c r="N690" s="1">
        <v>146.66</v>
      </c>
      <c r="O690" s="1">
        <v>58940000</v>
      </c>
      <c r="P690" t="s">
        <v>2282</v>
      </c>
    </row>
    <row r="691" spans="1:16" hidden="1" x14ac:dyDescent="0.3">
      <c r="A691" s="1" t="s">
        <v>1604</v>
      </c>
      <c r="B691" s="1" t="s">
        <v>37</v>
      </c>
      <c r="C691" s="1" t="s">
        <v>1605</v>
      </c>
      <c r="D691" s="1" t="s">
        <v>49</v>
      </c>
      <c r="E691" s="1" t="s">
        <v>111</v>
      </c>
      <c r="F691" s="1" t="s">
        <v>18</v>
      </c>
      <c r="G691" s="6">
        <v>43654</v>
      </c>
      <c r="H691" s="1">
        <v>2015</v>
      </c>
      <c r="I691" t="s">
        <v>77</v>
      </c>
      <c r="J691" s="1">
        <v>67</v>
      </c>
      <c r="K691" s="1" t="s">
        <v>28</v>
      </c>
      <c r="L691" s="1" t="s">
        <v>46</v>
      </c>
      <c r="M691" s="1">
        <v>6.2</v>
      </c>
      <c r="N691" s="1">
        <v>63.92</v>
      </c>
      <c r="O691" s="1">
        <v>33633000</v>
      </c>
      <c r="P691" t="s">
        <v>2281</v>
      </c>
    </row>
    <row r="692" spans="1:16" hidden="1" x14ac:dyDescent="0.3">
      <c r="A692" s="1" t="s">
        <v>1606</v>
      </c>
      <c r="B692" s="1" t="s">
        <v>37</v>
      </c>
      <c r="C692" s="1" t="s">
        <v>1607</v>
      </c>
      <c r="D692" s="1" t="s">
        <v>31</v>
      </c>
      <c r="E692" s="1" t="s">
        <v>364</v>
      </c>
      <c r="F692" s="1" t="s">
        <v>158</v>
      </c>
      <c r="G692" s="6">
        <v>44514</v>
      </c>
      <c r="H692" s="1">
        <v>1998</v>
      </c>
      <c r="I692" t="s">
        <v>19</v>
      </c>
      <c r="J692" s="1">
        <v>145</v>
      </c>
      <c r="K692" s="1" t="s">
        <v>28</v>
      </c>
      <c r="L692" s="1" t="s">
        <v>41</v>
      </c>
      <c r="M692" s="1">
        <v>1.6</v>
      </c>
      <c r="N692" s="1">
        <v>96.07</v>
      </c>
      <c r="O692" s="1">
        <v>96247000</v>
      </c>
      <c r="P692" t="s">
        <v>2282</v>
      </c>
    </row>
    <row r="693" spans="1:16" x14ac:dyDescent="0.3">
      <c r="A693" s="1" t="s">
        <v>1608</v>
      </c>
      <c r="B693" s="1" t="s">
        <v>14</v>
      </c>
      <c r="C693" s="1" t="s">
        <v>1609</v>
      </c>
      <c r="D693" s="1" t="s">
        <v>49</v>
      </c>
      <c r="E693" s="1" t="s">
        <v>372</v>
      </c>
      <c r="F693" s="1" t="s">
        <v>51</v>
      </c>
      <c r="G693" s="6">
        <v>43836</v>
      </c>
      <c r="H693" s="1">
        <v>1990</v>
      </c>
      <c r="I693" t="s">
        <v>34</v>
      </c>
      <c r="J693" s="1">
        <v>9</v>
      </c>
      <c r="K693" s="1" t="s">
        <v>20</v>
      </c>
      <c r="L693" s="1" t="s">
        <v>69</v>
      </c>
      <c r="M693" s="1">
        <v>5.5</v>
      </c>
      <c r="N693" s="1">
        <v>29.42</v>
      </c>
      <c r="O693" s="1">
        <v>97889000</v>
      </c>
      <c r="P693" t="s">
        <v>2281</v>
      </c>
    </row>
    <row r="694" spans="1:16" hidden="1" x14ac:dyDescent="0.3">
      <c r="A694" s="1" t="s">
        <v>1610</v>
      </c>
      <c r="B694" s="1" t="s">
        <v>37</v>
      </c>
      <c r="C694" s="1" t="s">
        <v>1611</v>
      </c>
      <c r="D694" s="1" t="s">
        <v>31</v>
      </c>
      <c r="E694" s="1" t="s">
        <v>1612</v>
      </c>
      <c r="F694" s="1" t="s">
        <v>76</v>
      </c>
      <c r="G694" s="6">
        <v>45165</v>
      </c>
      <c r="H694" s="1">
        <v>1991</v>
      </c>
      <c r="I694" t="s">
        <v>89</v>
      </c>
      <c r="J694" s="1">
        <v>78</v>
      </c>
      <c r="K694" s="1" t="s">
        <v>28</v>
      </c>
      <c r="L694" s="1" t="s">
        <v>69</v>
      </c>
      <c r="M694" s="1">
        <v>3</v>
      </c>
      <c r="N694" s="1">
        <v>18.29</v>
      </c>
      <c r="O694" s="1">
        <v>76164000</v>
      </c>
      <c r="P694" t="s">
        <v>2281</v>
      </c>
    </row>
    <row r="695" spans="1:16" hidden="1" x14ac:dyDescent="0.3">
      <c r="A695" s="1" t="s">
        <v>1613</v>
      </c>
      <c r="B695" s="1" t="s">
        <v>37</v>
      </c>
      <c r="C695" s="1" t="s">
        <v>1614</v>
      </c>
      <c r="D695" s="1" t="s">
        <v>62</v>
      </c>
      <c r="E695" s="1" t="s">
        <v>175</v>
      </c>
      <c r="F695" s="1" t="s">
        <v>158</v>
      </c>
      <c r="G695" s="6">
        <v>43936</v>
      </c>
      <c r="H695" s="1">
        <v>1997</v>
      </c>
      <c r="I695" t="s">
        <v>77</v>
      </c>
      <c r="J695" s="1">
        <v>154</v>
      </c>
      <c r="K695" s="1" t="s">
        <v>28</v>
      </c>
      <c r="L695" s="1" t="s">
        <v>69</v>
      </c>
      <c r="M695" s="1">
        <v>2.4</v>
      </c>
      <c r="N695" s="1">
        <v>86.21</v>
      </c>
      <c r="O695" s="1">
        <v>63670000</v>
      </c>
      <c r="P695" t="s">
        <v>2282</v>
      </c>
    </row>
    <row r="696" spans="1:16" hidden="1" x14ac:dyDescent="0.3">
      <c r="A696" s="1" t="s">
        <v>1615</v>
      </c>
      <c r="B696" s="1" t="s">
        <v>37</v>
      </c>
      <c r="C696" s="1" t="s">
        <v>1616</v>
      </c>
      <c r="D696" s="1" t="s">
        <v>16</v>
      </c>
      <c r="E696" s="1" t="s">
        <v>862</v>
      </c>
      <c r="F696" s="1" t="s">
        <v>76</v>
      </c>
      <c r="G696" s="6">
        <v>43432</v>
      </c>
      <c r="H696" s="1">
        <v>1994</v>
      </c>
      <c r="I696" t="s">
        <v>77</v>
      </c>
      <c r="J696" s="1">
        <v>108</v>
      </c>
      <c r="K696" s="1" t="s">
        <v>28</v>
      </c>
      <c r="L696" s="1" t="s">
        <v>46</v>
      </c>
      <c r="M696" s="1">
        <v>9.9</v>
      </c>
      <c r="N696" s="1">
        <v>12.03</v>
      </c>
      <c r="O696" s="1">
        <v>61832000</v>
      </c>
      <c r="P696" t="s">
        <v>2281</v>
      </c>
    </row>
    <row r="697" spans="1:16" x14ac:dyDescent="0.3">
      <c r="A697" s="1" t="s">
        <v>1617</v>
      </c>
      <c r="B697" s="1" t="s">
        <v>14</v>
      </c>
      <c r="C697" s="1" t="s">
        <v>1618</v>
      </c>
      <c r="D697" s="1" t="s">
        <v>39</v>
      </c>
      <c r="E697" s="1" t="s">
        <v>172</v>
      </c>
      <c r="F697" s="1" t="s">
        <v>51</v>
      </c>
      <c r="G697" s="6">
        <v>44903</v>
      </c>
      <c r="H697" s="1">
        <v>2004</v>
      </c>
      <c r="I697" t="s">
        <v>55</v>
      </c>
      <c r="J697" s="1">
        <v>3</v>
      </c>
      <c r="K697" s="1" t="s">
        <v>20</v>
      </c>
      <c r="L697" s="1" t="s">
        <v>21</v>
      </c>
      <c r="M697" s="1">
        <v>4.0999999999999996</v>
      </c>
      <c r="N697" s="1">
        <v>58.26</v>
      </c>
      <c r="O697" s="1">
        <v>24683000</v>
      </c>
      <c r="P697" t="s">
        <v>2281</v>
      </c>
    </row>
    <row r="698" spans="1:16" hidden="1" x14ac:dyDescent="0.3">
      <c r="A698" s="1" t="s">
        <v>1619</v>
      </c>
      <c r="B698" s="1" t="s">
        <v>37</v>
      </c>
      <c r="C698" s="1" t="s">
        <v>1620</v>
      </c>
      <c r="D698" s="1" t="s">
        <v>31</v>
      </c>
      <c r="E698" s="1" t="s">
        <v>169</v>
      </c>
      <c r="F698" s="1" t="s">
        <v>18</v>
      </c>
      <c r="G698" s="6">
        <v>43949</v>
      </c>
      <c r="H698" s="1">
        <v>2014</v>
      </c>
      <c r="I698" t="s">
        <v>27</v>
      </c>
      <c r="J698" s="1">
        <v>63</v>
      </c>
      <c r="K698" s="1" t="s">
        <v>28</v>
      </c>
      <c r="L698" s="1" t="s">
        <v>46</v>
      </c>
      <c r="M698" s="1">
        <v>8.1999999999999993</v>
      </c>
      <c r="N698" s="1">
        <v>89.1</v>
      </c>
      <c r="O698" s="1">
        <v>7835000</v>
      </c>
      <c r="P698" t="s">
        <v>2282</v>
      </c>
    </row>
    <row r="699" spans="1:16" x14ac:dyDescent="0.3">
      <c r="A699" s="1" t="s">
        <v>1621</v>
      </c>
      <c r="B699" s="1" t="s">
        <v>14</v>
      </c>
      <c r="C699" s="1" t="s">
        <v>1622</v>
      </c>
      <c r="D699" s="1" t="s">
        <v>31</v>
      </c>
      <c r="E699" s="1" t="s">
        <v>204</v>
      </c>
      <c r="F699" s="1" t="s">
        <v>76</v>
      </c>
      <c r="G699" s="6">
        <v>44580</v>
      </c>
      <c r="H699" s="1">
        <v>2022</v>
      </c>
      <c r="I699" t="s">
        <v>77</v>
      </c>
      <c r="J699" s="1">
        <v>5</v>
      </c>
      <c r="K699" s="1" t="s">
        <v>20</v>
      </c>
      <c r="L699" s="1" t="s">
        <v>41</v>
      </c>
      <c r="M699" s="1">
        <v>4.3</v>
      </c>
      <c r="N699" s="1">
        <v>74.09</v>
      </c>
      <c r="O699" s="1">
        <v>66453000</v>
      </c>
      <c r="P699" t="s">
        <v>2282</v>
      </c>
    </row>
    <row r="700" spans="1:16" hidden="1" x14ac:dyDescent="0.3">
      <c r="A700" s="1" t="s">
        <v>1623</v>
      </c>
      <c r="B700" s="1" t="s">
        <v>37</v>
      </c>
      <c r="C700" s="1" t="s">
        <v>1624</v>
      </c>
      <c r="D700" s="1" t="s">
        <v>62</v>
      </c>
      <c r="E700" s="1" t="s">
        <v>1625</v>
      </c>
      <c r="F700" s="1" t="s">
        <v>76</v>
      </c>
      <c r="G700" s="6">
        <v>42377</v>
      </c>
      <c r="H700" s="1">
        <v>2001</v>
      </c>
      <c r="I700" t="s">
        <v>89</v>
      </c>
      <c r="J700" s="1">
        <v>84</v>
      </c>
      <c r="K700" s="1" t="s">
        <v>28</v>
      </c>
      <c r="L700" s="1" t="s">
        <v>35</v>
      </c>
      <c r="M700" s="1">
        <v>1.5</v>
      </c>
      <c r="N700" s="1">
        <v>69.98</v>
      </c>
      <c r="O700" s="1">
        <v>35399000</v>
      </c>
      <c r="P700" t="s">
        <v>2282</v>
      </c>
    </row>
    <row r="701" spans="1:16" x14ac:dyDescent="0.3">
      <c r="A701" s="1" t="s">
        <v>1626</v>
      </c>
      <c r="B701" s="1" t="s">
        <v>14</v>
      </c>
      <c r="C701" s="1" t="s">
        <v>1627</v>
      </c>
      <c r="D701" s="1" t="s">
        <v>72</v>
      </c>
      <c r="E701" s="1" t="s">
        <v>187</v>
      </c>
      <c r="F701" s="1" t="s">
        <v>59</v>
      </c>
      <c r="G701" s="6">
        <v>42209</v>
      </c>
      <c r="H701" s="1">
        <v>2002</v>
      </c>
      <c r="I701" t="s">
        <v>77</v>
      </c>
      <c r="J701" s="1">
        <v>1</v>
      </c>
      <c r="K701" s="1" t="s">
        <v>20</v>
      </c>
      <c r="L701" s="1" t="s">
        <v>69</v>
      </c>
      <c r="M701" s="1">
        <v>6.3</v>
      </c>
      <c r="N701" s="1">
        <v>31.02</v>
      </c>
      <c r="O701" s="1">
        <v>70948000</v>
      </c>
      <c r="P701" t="s">
        <v>2281</v>
      </c>
    </row>
    <row r="702" spans="1:16" hidden="1" x14ac:dyDescent="0.3">
      <c r="A702" s="1" t="s">
        <v>1628</v>
      </c>
      <c r="B702" s="1" t="s">
        <v>37</v>
      </c>
      <c r="C702" s="1" t="s">
        <v>1629</v>
      </c>
      <c r="D702" s="1" t="s">
        <v>62</v>
      </c>
      <c r="E702" s="1" t="s">
        <v>717</v>
      </c>
      <c r="F702" s="1" t="s">
        <v>18</v>
      </c>
      <c r="G702" s="6">
        <v>43743</v>
      </c>
      <c r="H702" s="1">
        <v>2012</v>
      </c>
      <c r="I702" t="s">
        <v>34</v>
      </c>
      <c r="J702" s="1">
        <v>66</v>
      </c>
      <c r="K702" s="1" t="s">
        <v>28</v>
      </c>
      <c r="L702" s="1" t="s">
        <v>46</v>
      </c>
      <c r="M702" s="1">
        <v>7</v>
      </c>
      <c r="N702" s="1">
        <v>23.67</v>
      </c>
      <c r="O702" s="1">
        <v>23111000</v>
      </c>
      <c r="P702" t="s">
        <v>2282</v>
      </c>
    </row>
    <row r="703" spans="1:16" x14ac:dyDescent="0.3">
      <c r="A703" s="1" t="s">
        <v>1630</v>
      </c>
      <c r="B703" s="1" t="s">
        <v>14</v>
      </c>
      <c r="C703" s="1" t="s">
        <v>1631</v>
      </c>
      <c r="D703" s="1" t="s">
        <v>39</v>
      </c>
      <c r="E703" s="1" t="s">
        <v>895</v>
      </c>
      <c r="F703" s="1" t="s">
        <v>45</v>
      </c>
      <c r="G703" s="6">
        <v>43730</v>
      </c>
      <c r="H703" s="1">
        <v>2010</v>
      </c>
      <c r="I703" t="s">
        <v>19</v>
      </c>
      <c r="J703" s="1">
        <v>3</v>
      </c>
      <c r="K703" s="1" t="s">
        <v>20</v>
      </c>
      <c r="L703" s="1" t="s">
        <v>21</v>
      </c>
      <c r="M703" s="1">
        <v>1.5</v>
      </c>
      <c r="N703" s="1">
        <v>37.29</v>
      </c>
      <c r="O703" s="1">
        <v>100713000</v>
      </c>
      <c r="P703" t="s">
        <v>2282</v>
      </c>
    </row>
    <row r="704" spans="1:16" hidden="1" x14ac:dyDescent="0.3">
      <c r="A704" s="1" t="s">
        <v>1632</v>
      </c>
      <c r="B704" s="1" t="s">
        <v>37</v>
      </c>
      <c r="C704" s="1" t="s">
        <v>1633</v>
      </c>
      <c r="D704" s="1" t="s">
        <v>72</v>
      </c>
      <c r="E704" s="1" t="s">
        <v>717</v>
      </c>
      <c r="F704" s="1" t="s">
        <v>51</v>
      </c>
      <c r="G704" s="6">
        <v>44362</v>
      </c>
      <c r="H704" s="1">
        <v>2015</v>
      </c>
      <c r="I704" t="s">
        <v>34</v>
      </c>
      <c r="J704" s="1">
        <v>74</v>
      </c>
      <c r="K704" s="1" t="s">
        <v>28</v>
      </c>
      <c r="L704" s="1" t="s">
        <v>35</v>
      </c>
      <c r="M704" s="1">
        <v>4.9000000000000004</v>
      </c>
      <c r="N704" s="1">
        <v>24.02</v>
      </c>
      <c r="O704" s="1">
        <v>20529000</v>
      </c>
      <c r="P704" t="s">
        <v>2282</v>
      </c>
    </row>
    <row r="705" spans="1:16" x14ac:dyDescent="0.3">
      <c r="A705" s="1" t="s">
        <v>1634</v>
      </c>
      <c r="B705" s="1" t="s">
        <v>14</v>
      </c>
      <c r="C705" s="1" t="s">
        <v>1635</v>
      </c>
      <c r="D705" s="1" t="s">
        <v>39</v>
      </c>
      <c r="E705" s="1" t="s">
        <v>40</v>
      </c>
      <c r="F705" s="1" t="s">
        <v>59</v>
      </c>
      <c r="G705" s="6">
        <v>43090</v>
      </c>
      <c r="H705" s="1">
        <v>2001</v>
      </c>
      <c r="I705" t="s">
        <v>27</v>
      </c>
      <c r="J705" s="1">
        <v>9</v>
      </c>
      <c r="K705" s="1" t="s">
        <v>20</v>
      </c>
      <c r="L705" s="1" t="s">
        <v>46</v>
      </c>
      <c r="M705" s="1">
        <v>3.6</v>
      </c>
      <c r="N705" s="1">
        <v>149.31</v>
      </c>
      <c r="O705" s="1">
        <v>93498000</v>
      </c>
      <c r="P705" t="s">
        <v>2281</v>
      </c>
    </row>
    <row r="706" spans="1:16" x14ac:dyDescent="0.3">
      <c r="A706" s="1" t="s">
        <v>1636</v>
      </c>
      <c r="B706" s="1" t="s">
        <v>14</v>
      </c>
      <c r="C706" s="1" t="s">
        <v>1637</v>
      </c>
      <c r="D706" s="1" t="s">
        <v>16</v>
      </c>
      <c r="E706" s="1" t="s">
        <v>83</v>
      </c>
      <c r="F706" s="1" t="s">
        <v>18</v>
      </c>
      <c r="G706" s="6">
        <v>44563</v>
      </c>
      <c r="H706" s="1">
        <v>2008</v>
      </c>
      <c r="I706" t="s">
        <v>77</v>
      </c>
      <c r="J706" s="1">
        <v>5</v>
      </c>
      <c r="K706" s="1" t="s">
        <v>20</v>
      </c>
      <c r="L706" s="1" t="s">
        <v>69</v>
      </c>
      <c r="M706" s="1">
        <v>3.4</v>
      </c>
      <c r="N706" s="1">
        <v>84.79</v>
      </c>
      <c r="O706" s="1">
        <v>34975000</v>
      </c>
      <c r="P706" t="s">
        <v>2281</v>
      </c>
    </row>
    <row r="707" spans="1:16" x14ac:dyDescent="0.3">
      <c r="A707" s="1" t="s">
        <v>1638</v>
      </c>
      <c r="B707" s="1" t="s">
        <v>14</v>
      </c>
      <c r="C707" s="1" t="s">
        <v>1639</v>
      </c>
      <c r="D707" s="1" t="s">
        <v>16</v>
      </c>
      <c r="E707" s="1" t="s">
        <v>1344</v>
      </c>
      <c r="F707" s="1" t="s">
        <v>158</v>
      </c>
      <c r="G707" s="6">
        <v>42655</v>
      </c>
      <c r="H707" s="1">
        <v>1998</v>
      </c>
      <c r="I707" t="s">
        <v>34</v>
      </c>
      <c r="J707" s="1">
        <v>10</v>
      </c>
      <c r="K707" s="1" t="s">
        <v>20</v>
      </c>
      <c r="L707" s="1" t="s">
        <v>46</v>
      </c>
      <c r="M707" s="1">
        <v>9.6999999999999993</v>
      </c>
      <c r="N707" s="1">
        <v>22.85</v>
      </c>
      <c r="O707" s="1">
        <v>2356000</v>
      </c>
      <c r="P707" t="s">
        <v>2282</v>
      </c>
    </row>
    <row r="708" spans="1:16" x14ac:dyDescent="0.3">
      <c r="A708" s="1" t="s">
        <v>1640</v>
      </c>
      <c r="B708" s="1" t="s">
        <v>14</v>
      </c>
      <c r="C708" s="1" t="s">
        <v>1641</v>
      </c>
      <c r="D708" s="1" t="s">
        <v>72</v>
      </c>
      <c r="E708" s="1" t="s">
        <v>72</v>
      </c>
      <c r="F708" s="1" t="s">
        <v>59</v>
      </c>
      <c r="G708" s="6">
        <v>44977</v>
      </c>
      <c r="H708" s="1">
        <v>2000</v>
      </c>
      <c r="I708" t="s">
        <v>27</v>
      </c>
      <c r="J708" s="1">
        <v>7</v>
      </c>
      <c r="K708" s="1" t="s">
        <v>20</v>
      </c>
      <c r="L708" s="1" t="s">
        <v>52</v>
      </c>
      <c r="M708" s="1">
        <v>9.5</v>
      </c>
      <c r="N708" s="1">
        <v>39.479999999999997</v>
      </c>
      <c r="O708" s="1">
        <v>61409000</v>
      </c>
      <c r="P708" t="s">
        <v>2282</v>
      </c>
    </row>
    <row r="709" spans="1:16" hidden="1" x14ac:dyDescent="0.3">
      <c r="A709" s="1" t="s">
        <v>1642</v>
      </c>
      <c r="B709" s="1" t="s">
        <v>37</v>
      </c>
      <c r="C709" s="1" t="s">
        <v>1643</v>
      </c>
      <c r="D709" s="1" t="s">
        <v>16</v>
      </c>
      <c r="E709" s="1" t="s">
        <v>633</v>
      </c>
      <c r="F709" s="1" t="s">
        <v>76</v>
      </c>
      <c r="G709" s="6">
        <v>44761</v>
      </c>
      <c r="H709" s="1">
        <v>2009</v>
      </c>
      <c r="I709" t="s">
        <v>19</v>
      </c>
      <c r="J709" s="1">
        <v>98</v>
      </c>
      <c r="K709" s="1" t="s">
        <v>28</v>
      </c>
      <c r="L709" s="1" t="s">
        <v>21</v>
      </c>
      <c r="M709" s="1">
        <v>5.0999999999999996</v>
      </c>
      <c r="N709" s="1">
        <v>147.83000000000001</v>
      </c>
      <c r="O709" s="1">
        <v>19562000</v>
      </c>
      <c r="P709" t="s">
        <v>2282</v>
      </c>
    </row>
    <row r="710" spans="1:16" x14ac:dyDescent="0.3">
      <c r="A710" s="1" t="s">
        <v>1644</v>
      </c>
      <c r="B710" s="1" t="s">
        <v>14</v>
      </c>
      <c r="C710" s="1" t="s">
        <v>1645</v>
      </c>
      <c r="D710" s="1" t="s">
        <v>24</v>
      </c>
      <c r="E710" s="1" t="s">
        <v>133</v>
      </c>
      <c r="F710" s="1" t="s">
        <v>158</v>
      </c>
      <c r="G710" s="6">
        <v>43528</v>
      </c>
      <c r="H710" s="1">
        <v>2001</v>
      </c>
      <c r="I710" t="s">
        <v>19</v>
      </c>
      <c r="J710" s="1">
        <v>6</v>
      </c>
      <c r="K710" s="1" t="s">
        <v>20</v>
      </c>
      <c r="L710" s="1" t="s">
        <v>35</v>
      </c>
      <c r="M710" s="1">
        <v>6</v>
      </c>
      <c r="N710" s="1">
        <v>133.25</v>
      </c>
      <c r="O710" s="1">
        <v>58660000</v>
      </c>
      <c r="P710" t="s">
        <v>2281</v>
      </c>
    </row>
    <row r="711" spans="1:16" hidden="1" x14ac:dyDescent="0.3">
      <c r="A711" s="1" t="s">
        <v>1646</v>
      </c>
      <c r="B711" s="1" t="s">
        <v>37</v>
      </c>
      <c r="C711" s="1" t="s">
        <v>1647</v>
      </c>
      <c r="D711" s="1" t="s">
        <v>62</v>
      </c>
      <c r="E711" s="1" t="s">
        <v>72</v>
      </c>
      <c r="F711" s="1" t="s">
        <v>26</v>
      </c>
      <c r="G711" s="6">
        <v>43326</v>
      </c>
      <c r="H711" s="1">
        <v>2000</v>
      </c>
      <c r="I711" t="s">
        <v>34</v>
      </c>
      <c r="J711" s="1">
        <v>77</v>
      </c>
      <c r="K711" s="1" t="s">
        <v>28</v>
      </c>
      <c r="L711" s="1" t="s">
        <v>35</v>
      </c>
      <c r="M711" s="1">
        <v>1.4</v>
      </c>
      <c r="N711" s="1">
        <v>127.57</v>
      </c>
      <c r="O711" s="1">
        <v>33638000</v>
      </c>
      <c r="P711" t="s">
        <v>2282</v>
      </c>
    </row>
    <row r="712" spans="1:16" hidden="1" x14ac:dyDescent="0.3">
      <c r="A712" s="1" t="s">
        <v>1648</v>
      </c>
      <c r="B712" s="1" t="s">
        <v>37</v>
      </c>
      <c r="C712" s="1" t="s">
        <v>1649</v>
      </c>
      <c r="D712" s="1" t="s">
        <v>24</v>
      </c>
      <c r="E712" s="1" t="s">
        <v>72</v>
      </c>
      <c r="F712" s="1" t="s">
        <v>26</v>
      </c>
      <c r="G712" s="6">
        <v>43451</v>
      </c>
      <c r="H712" s="1">
        <v>2003</v>
      </c>
      <c r="I712" t="s">
        <v>34</v>
      </c>
      <c r="J712" s="1">
        <v>81</v>
      </c>
      <c r="K712" s="1" t="s">
        <v>28</v>
      </c>
      <c r="L712" s="1" t="s">
        <v>41</v>
      </c>
      <c r="M712" s="1">
        <v>7</v>
      </c>
      <c r="N712" s="1">
        <v>3.69</v>
      </c>
      <c r="O712" s="1">
        <v>31446000</v>
      </c>
      <c r="P712" t="s">
        <v>2281</v>
      </c>
    </row>
    <row r="713" spans="1:16" x14ac:dyDescent="0.3">
      <c r="A713" s="1" t="s">
        <v>1650</v>
      </c>
      <c r="B713" s="1" t="s">
        <v>14</v>
      </c>
      <c r="C713" s="1" t="s">
        <v>1651</v>
      </c>
      <c r="D713" s="1" t="s">
        <v>16</v>
      </c>
      <c r="E713" s="1" t="s">
        <v>130</v>
      </c>
      <c r="F713" s="1" t="s">
        <v>158</v>
      </c>
      <c r="G713" s="6">
        <v>42503</v>
      </c>
      <c r="H713" s="1">
        <v>1993</v>
      </c>
      <c r="I713" t="s">
        <v>27</v>
      </c>
      <c r="J713" s="1">
        <v>4</v>
      </c>
      <c r="K713" s="1" t="s">
        <v>20</v>
      </c>
      <c r="L713" s="1" t="s">
        <v>46</v>
      </c>
      <c r="M713" s="1">
        <v>8.9</v>
      </c>
      <c r="N713" s="1">
        <v>124.72</v>
      </c>
      <c r="O713" s="1">
        <v>79285000</v>
      </c>
      <c r="P713" t="s">
        <v>2281</v>
      </c>
    </row>
    <row r="714" spans="1:16" hidden="1" x14ac:dyDescent="0.3">
      <c r="A714" s="1" t="s">
        <v>1652</v>
      </c>
      <c r="B714" s="1" t="s">
        <v>37</v>
      </c>
      <c r="C714" s="1" t="s">
        <v>1653</v>
      </c>
      <c r="D714" s="1" t="s">
        <v>16</v>
      </c>
      <c r="E714" s="1" t="s">
        <v>123</v>
      </c>
      <c r="F714" s="1" t="s">
        <v>76</v>
      </c>
      <c r="G714" s="6">
        <v>44837</v>
      </c>
      <c r="H714" s="1">
        <v>1995</v>
      </c>
      <c r="I714" t="s">
        <v>27</v>
      </c>
      <c r="J714" s="1">
        <v>77</v>
      </c>
      <c r="K714" s="1" t="s">
        <v>28</v>
      </c>
      <c r="L714" s="1" t="s">
        <v>21</v>
      </c>
      <c r="M714" s="1">
        <v>999</v>
      </c>
      <c r="N714" s="1">
        <v>130.65</v>
      </c>
      <c r="O714" s="1">
        <v>20557000</v>
      </c>
      <c r="P714" t="s">
        <v>2281</v>
      </c>
    </row>
    <row r="715" spans="1:16" x14ac:dyDescent="0.3">
      <c r="A715" s="1" t="s">
        <v>1654</v>
      </c>
      <c r="B715" s="1" t="s">
        <v>14</v>
      </c>
      <c r="C715" s="1" t="s">
        <v>1655</v>
      </c>
      <c r="D715" s="1" t="s">
        <v>31</v>
      </c>
      <c r="E715" s="1" t="s">
        <v>17</v>
      </c>
      <c r="F715" s="1" t="s">
        <v>76</v>
      </c>
      <c r="G715" s="6">
        <v>42327</v>
      </c>
      <c r="H715" s="1">
        <v>2022</v>
      </c>
      <c r="I715" t="s">
        <v>55</v>
      </c>
      <c r="J715" s="1">
        <v>6</v>
      </c>
      <c r="K715" s="1" t="s">
        <v>20</v>
      </c>
      <c r="L715" s="1" t="s">
        <v>21</v>
      </c>
      <c r="M715" s="1">
        <v>7.3</v>
      </c>
      <c r="N715" s="1">
        <v>111.11</v>
      </c>
      <c r="O715" s="1">
        <v>50452000</v>
      </c>
      <c r="P715" t="s">
        <v>2282</v>
      </c>
    </row>
    <row r="716" spans="1:16" x14ac:dyDescent="0.3">
      <c r="A716" s="1" t="s">
        <v>1656</v>
      </c>
      <c r="B716" s="1" t="s">
        <v>14</v>
      </c>
      <c r="C716" s="1" t="s">
        <v>1657</v>
      </c>
      <c r="D716" s="1" t="s">
        <v>16</v>
      </c>
      <c r="E716" s="1" t="s">
        <v>559</v>
      </c>
      <c r="F716" s="1" t="s">
        <v>45</v>
      </c>
      <c r="G716" s="6">
        <v>42309</v>
      </c>
      <c r="H716" s="1">
        <v>2019</v>
      </c>
      <c r="I716" t="s">
        <v>27</v>
      </c>
      <c r="J716" s="1">
        <v>4</v>
      </c>
      <c r="K716" s="1" t="s">
        <v>20</v>
      </c>
      <c r="L716" s="1" t="s">
        <v>52</v>
      </c>
      <c r="M716" s="1">
        <v>6.8</v>
      </c>
      <c r="N716" s="1">
        <v>47.22</v>
      </c>
      <c r="O716" s="1">
        <v>33486000</v>
      </c>
      <c r="P716" t="s">
        <v>2282</v>
      </c>
    </row>
    <row r="717" spans="1:16" x14ac:dyDescent="0.3">
      <c r="A717" s="1" t="s">
        <v>1658</v>
      </c>
      <c r="B717" s="1" t="s">
        <v>14</v>
      </c>
      <c r="C717" s="1" t="s">
        <v>1659</v>
      </c>
      <c r="D717" s="1" t="s">
        <v>31</v>
      </c>
      <c r="E717" s="1" t="s">
        <v>722</v>
      </c>
      <c r="F717" s="1" t="s">
        <v>45</v>
      </c>
      <c r="G717" s="6">
        <v>43888</v>
      </c>
      <c r="H717" s="1">
        <v>1990</v>
      </c>
      <c r="I717" t="s">
        <v>77</v>
      </c>
      <c r="J717" s="1">
        <v>7</v>
      </c>
      <c r="K717" s="1" t="s">
        <v>20</v>
      </c>
      <c r="L717" s="1" t="s">
        <v>46</v>
      </c>
      <c r="M717" s="1">
        <v>1.8</v>
      </c>
      <c r="N717" s="1">
        <v>16</v>
      </c>
      <c r="O717" s="1">
        <v>96472000</v>
      </c>
      <c r="P717" t="s">
        <v>2281</v>
      </c>
    </row>
    <row r="718" spans="1:16" x14ac:dyDescent="0.3">
      <c r="A718" s="1" t="s">
        <v>1660</v>
      </c>
      <c r="B718" s="1" t="s">
        <v>14</v>
      </c>
      <c r="C718" s="1" t="s">
        <v>1661</v>
      </c>
      <c r="D718" s="1" t="s">
        <v>24</v>
      </c>
      <c r="E718" s="1" t="s">
        <v>17</v>
      </c>
      <c r="F718" s="1" t="s">
        <v>158</v>
      </c>
      <c r="G718" s="6">
        <v>42100</v>
      </c>
      <c r="H718" s="1">
        <v>2004</v>
      </c>
      <c r="I718" t="s">
        <v>19</v>
      </c>
      <c r="J718" s="1">
        <v>2</v>
      </c>
      <c r="K718" s="1" t="s">
        <v>20</v>
      </c>
      <c r="L718" s="1" t="s">
        <v>52</v>
      </c>
      <c r="M718" s="1">
        <v>6.8</v>
      </c>
      <c r="N718" s="1">
        <v>3.89</v>
      </c>
      <c r="O718" s="1">
        <v>43220000</v>
      </c>
      <c r="P718" t="s">
        <v>2282</v>
      </c>
    </row>
    <row r="719" spans="1:16" hidden="1" x14ac:dyDescent="0.3">
      <c r="A719" s="1" t="s">
        <v>1662</v>
      </c>
      <c r="B719" s="1" t="s">
        <v>37</v>
      </c>
      <c r="C719" s="1" t="s">
        <v>1663</v>
      </c>
      <c r="D719" s="1" t="s">
        <v>16</v>
      </c>
      <c r="E719" s="1" t="s">
        <v>1397</v>
      </c>
      <c r="F719" s="1" t="s">
        <v>158</v>
      </c>
      <c r="G719" s="6">
        <v>44566</v>
      </c>
      <c r="H719" s="1">
        <v>2023</v>
      </c>
      <c r="I719" t="s">
        <v>34</v>
      </c>
      <c r="J719" s="1">
        <v>155</v>
      </c>
      <c r="K719" s="1" t="s">
        <v>28</v>
      </c>
      <c r="L719" s="1" t="s">
        <v>52</v>
      </c>
      <c r="M719" s="1">
        <v>8.8000000000000007</v>
      </c>
      <c r="N719" s="1">
        <v>144.72</v>
      </c>
      <c r="O719" s="1">
        <v>76863000</v>
      </c>
      <c r="P719" t="s">
        <v>2281</v>
      </c>
    </row>
    <row r="720" spans="1:16" x14ac:dyDescent="0.3">
      <c r="A720" s="1" t="s">
        <v>1664</v>
      </c>
      <c r="B720" s="1" t="s">
        <v>14</v>
      </c>
      <c r="C720" s="1" t="s">
        <v>1665</v>
      </c>
      <c r="D720" s="1" t="s">
        <v>31</v>
      </c>
      <c r="E720" s="1" t="s">
        <v>1666</v>
      </c>
      <c r="F720" s="1" t="s">
        <v>158</v>
      </c>
      <c r="G720" s="6">
        <v>42707</v>
      </c>
      <c r="H720" s="1">
        <v>2002</v>
      </c>
      <c r="I720" t="s">
        <v>89</v>
      </c>
      <c r="J720" s="1">
        <v>4</v>
      </c>
      <c r="K720" s="1" t="s">
        <v>20</v>
      </c>
      <c r="L720" s="1" t="s">
        <v>52</v>
      </c>
      <c r="M720" s="1">
        <v>5.6</v>
      </c>
      <c r="N720" s="1">
        <v>86.46</v>
      </c>
      <c r="O720" s="1">
        <v>92103000</v>
      </c>
      <c r="P720" t="s">
        <v>2281</v>
      </c>
    </row>
    <row r="721" spans="1:16" x14ac:dyDescent="0.3">
      <c r="A721" s="1" t="s">
        <v>1667</v>
      </c>
      <c r="B721" s="1" t="s">
        <v>14</v>
      </c>
      <c r="C721" s="1" t="s">
        <v>1668</v>
      </c>
      <c r="D721" s="1" t="s">
        <v>31</v>
      </c>
      <c r="E721" s="1" t="s">
        <v>50</v>
      </c>
      <c r="F721" s="1" t="s">
        <v>26</v>
      </c>
      <c r="G721" s="6">
        <v>43723</v>
      </c>
      <c r="H721" s="1">
        <v>2014</v>
      </c>
      <c r="I721" t="s">
        <v>19</v>
      </c>
      <c r="J721" s="1">
        <v>2</v>
      </c>
      <c r="K721" s="1" t="s">
        <v>20</v>
      </c>
      <c r="L721" s="1" t="s">
        <v>41</v>
      </c>
      <c r="M721" s="1">
        <v>4.4000000000000004</v>
      </c>
      <c r="N721" s="1">
        <v>23.71</v>
      </c>
      <c r="O721" s="1">
        <v>47253000</v>
      </c>
      <c r="P721" t="s">
        <v>2282</v>
      </c>
    </row>
    <row r="722" spans="1:16" x14ac:dyDescent="0.3">
      <c r="A722" s="1" t="s">
        <v>1669</v>
      </c>
      <c r="B722" s="1" t="s">
        <v>14</v>
      </c>
      <c r="C722" s="1" t="s">
        <v>1670</v>
      </c>
      <c r="D722" s="1" t="s">
        <v>31</v>
      </c>
      <c r="E722" s="1" t="s">
        <v>101</v>
      </c>
      <c r="F722" s="1" t="s">
        <v>158</v>
      </c>
      <c r="G722" s="6">
        <v>43566</v>
      </c>
      <c r="H722" s="1">
        <v>2005</v>
      </c>
      <c r="I722" t="s">
        <v>77</v>
      </c>
      <c r="J722" s="1">
        <v>6</v>
      </c>
      <c r="K722" s="1" t="s">
        <v>20</v>
      </c>
      <c r="L722" s="1" t="s">
        <v>41</v>
      </c>
      <c r="M722" s="1">
        <v>6.2</v>
      </c>
      <c r="N722" s="1">
        <v>132.97</v>
      </c>
      <c r="O722" s="1">
        <v>40186000</v>
      </c>
      <c r="P722" t="s">
        <v>2282</v>
      </c>
    </row>
    <row r="723" spans="1:16" hidden="1" x14ac:dyDescent="0.3">
      <c r="A723" s="1" t="s">
        <v>1671</v>
      </c>
      <c r="B723" s="1" t="s">
        <v>37</v>
      </c>
      <c r="C723" s="1" t="s">
        <v>1672</v>
      </c>
      <c r="D723" s="1" t="s">
        <v>62</v>
      </c>
      <c r="E723" s="1" t="s">
        <v>1673</v>
      </c>
      <c r="F723" s="1" t="s">
        <v>59</v>
      </c>
      <c r="G723" s="6">
        <v>45245</v>
      </c>
      <c r="H723" s="1">
        <v>1994</v>
      </c>
      <c r="I723" t="s">
        <v>89</v>
      </c>
      <c r="J723" s="1">
        <v>172</v>
      </c>
      <c r="K723" s="1" t="s">
        <v>28</v>
      </c>
      <c r="L723" s="1" t="s">
        <v>52</v>
      </c>
      <c r="M723" s="1">
        <v>7.7</v>
      </c>
      <c r="N723" s="1">
        <v>66.05</v>
      </c>
      <c r="O723" s="1">
        <v>55399000</v>
      </c>
      <c r="P723" t="s">
        <v>2281</v>
      </c>
    </row>
    <row r="724" spans="1:16" hidden="1" x14ac:dyDescent="0.3">
      <c r="A724" s="1" t="s">
        <v>1674</v>
      </c>
      <c r="B724" s="1" t="s">
        <v>37</v>
      </c>
      <c r="C724" s="1" t="s">
        <v>1675</v>
      </c>
      <c r="D724" s="1" t="s">
        <v>49</v>
      </c>
      <c r="E724" s="1" t="s">
        <v>153</v>
      </c>
      <c r="F724" s="1" t="s">
        <v>18</v>
      </c>
      <c r="G724" s="6">
        <v>42697</v>
      </c>
      <c r="H724" s="1">
        <v>2001</v>
      </c>
      <c r="I724" t="s">
        <v>89</v>
      </c>
      <c r="J724" s="1">
        <v>175</v>
      </c>
      <c r="K724" s="1" t="s">
        <v>28</v>
      </c>
      <c r="L724" s="1" t="s">
        <v>41</v>
      </c>
      <c r="M724" s="1">
        <v>8.9</v>
      </c>
      <c r="N724" s="1">
        <v>27.73</v>
      </c>
      <c r="O724" s="1">
        <v>47177000</v>
      </c>
      <c r="P724" t="s">
        <v>2282</v>
      </c>
    </row>
    <row r="725" spans="1:16" hidden="1" x14ac:dyDescent="0.3">
      <c r="A725" s="1" t="s">
        <v>1676</v>
      </c>
      <c r="B725" s="1" t="s">
        <v>37</v>
      </c>
      <c r="C725" s="1" t="s">
        <v>1677</v>
      </c>
      <c r="D725" s="1" t="s">
        <v>31</v>
      </c>
      <c r="E725" s="1" t="s">
        <v>111</v>
      </c>
      <c r="F725" s="1" t="s">
        <v>18</v>
      </c>
      <c r="G725" s="6">
        <v>42891</v>
      </c>
      <c r="H725" s="1">
        <v>1998</v>
      </c>
      <c r="I725" t="s">
        <v>89</v>
      </c>
      <c r="J725" s="1">
        <v>129</v>
      </c>
      <c r="K725" s="1" t="s">
        <v>28</v>
      </c>
      <c r="L725" s="1" t="s">
        <v>52</v>
      </c>
      <c r="M725" s="1">
        <v>7.6</v>
      </c>
      <c r="N725" s="1">
        <v>6.29</v>
      </c>
      <c r="O725" s="1">
        <v>87971000</v>
      </c>
      <c r="P725" t="s">
        <v>2281</v>
      </c>
    </row>
    <row r="726" spans="1:16" hidden="1" x14ac:dyDescent="0.3">
      <c r="A726" s="1" t="s">
        <v>1678</v>
      </c>
      <c r="B726" s="1" t="s">
        <v>37</v>
      </c>
      <c r="C726" s="1" t="s">
        <v>1679</v>
      </c>
      <c r="D726" s="1" t="s">
        <v>24</v>
      </c>
      <c r="E726" s="1" t="s">
        <v>75</v>
      </c>
      <c r="F726" s="1" t="s">
        <v>158</v>
      </c>
      <c r="G726" s="6">
        <v>43662</v>
      </c>
      <c r="H726" s="1">
        <v>1998</v>
      </c>
      <c r="I726" t="s">
        <v>55</v>
      </c>
      <c r="J726" s="1">
        <v>112</v>
      </c>
      <c r="K726" s="1" t="s">
        <v>28</v>
      </c>
      <c r="L726" s="1" t="s">
        <v>69</v>
      </c>
      <c r="M726" s="1">
        <v>4.8</v>
      </c>
      <c r="N726" s="1">
        <v>91.87</v>
      </c>
      <c r="O726" s="1">
        <v>14885000</v>
      </c>
      <c r="P726" t="s">
        <v>2281</v>
      </c>
    </row>
    <row r="727" spans="1:16" hidden="1" x14ac:dyDescent="0.3">
      <c r="A727" s="1" t="s">
        <v>1680</v>
      </c>
      <c r="B727" s="1" t="s">
        <v>37</v>
      </c>
      <c r="C727" s="1" t="s">
        <v>1681</v>
      </c>
      <c r="D727" s="1" t="s">
        <v>49</v>
      </c>
      <c r="E727" s="1" t="s">
        <v>40</v>
      </c>
      <c r="F727" s="1" t="s">
        <v>18</v>
      </c>
      <c r="G727" s="6">
        <v>42617</v>
      </c>
      <c r="H727" s="1">
        <v>2023</v>
      </c>
      <c r="I727" t="s">
        <v>55</v>
      </c>
      <c r="J727" s="1">
        <v>67</v>
      </c>
      <c r="K727" s="1" t="s">
        <v>28</v>
      </c>
      <c r="L727" s="1" t="s">
        <v>46</v>
      </c>
      <c r="M727" s="1">
        <v>7.6</v>
      </c>
      <c r="N727" s="1">
        <v>119.4</v>
      </c>
      <c r="O727" s="1">
        <v>25868000</v>
      </c>
      <c r="P727" t="s">
        <v>2281</v>
      </c>
    </row>
    <row r="728" spans="1:16" x14ac:dyDescent="0.3">
      <c r="A728" s="1" t="s">
        <v>1682</v>
      </c>
      <c r="B728" s="1" t="s">
        <v>14</v>
      </c>
      <c r="C728" s="1" t="s">
        <v>1683</v>
      </c>
      <c r="D728" s="1" t="s">
        <v>24</v>
      </c>
      <c r="E728" s="1" t="s">
        <v>195</v>
      </c>
      <c r="F728" s="1" t="s">
        <v>76</v>
      </c>
      <c r="G728" s="6">
        <v>42064</v>
      </c>
      <c r="H728" s="1">
        <v>1990</v>
      </c>
      <c r="I728" t="s">
        <v>89</v>
      </c>
      <c r="J728" s="1">
        <v>8</v>
      </c>
      <c r="K728" s="1" t="s">
        <v>20</v>
      </c>
      <c r="L728" s="1" t="s">
        <v>35</v>
      </c>
      <c r="M728" s="1">
        <v>7.2</v>
      </c>
      <c r="N728" s="1">
        <v>129.72</v>
      </c>
      <c r="O728" s="1">
        <v>26871000</v>
      </c>
      <c r="P728" t="s">
        <v>2281</v>
      </c>
    </row>
    <row r="729" spans="1:16" hidden="1" x14ac:dyDescent="0.3">
      <c r="A729" s="1" t="s">
        <v>1684</v>
      </c>
      <c r="B729" s="1" t="s">
        <v>37</v>
      </c>
      <c r="C729" s="1" t="s">
        <v>1685</v>
      </c>
      <c r="D729" s="1" t="s">
        <v>16</v>
      </c>
      <c r="E729" s="1" t="s">
        <v>1242</v>
      </c>
      <c r="F729" s="1" t="s">
        <v>59</v>
      </c>
      <c r="G729" s="6">
        <v>42525</v>
      </c>
      <c r="H729" s="1">
        <v>2009</v>
      </c>
      <c r="I729" t="s">
        <v>77</v>
      </c>
      <c r="J729" s="1">
        <v>85</v>
      </c>
      <c r="K729" s="1" t="s">
        <v>28</v>
      </c>
      <c r="L729" s="1" t="s">
        <v>69</v>
      </c>
      <c r="M729" s="1">
        <v>1</v>
      </c>
      <c r="N729" s="1">
        <v>47.05</v>
      </c>
      <c r="O729" s="1">
        <v>76572000</v>
      </c>
      <c r="P729" t="s">
        <v>2281</v>
      </c>
    </row>
    <row r="730" spans="1:16" hidden="1" x14ac:dyDescent="0.3">
      <c r="A730" s="1" t="s">
        <v>1686</v>
      </c>
      <c r="B730" s="1" t="s">
        <v>37</v>
      </c>
      <c r="C730" s="1" t="s">
        <v>1687</v>
      </c>
      <c r="D730" s="1" t="s">
        <v>39</v>
      </c>
      <c r="E730" s="1" t="s">
        <v>602</v>
      </c>
      <c r="F730" s="1" t="s">
        <v>59</v>
      </c>
      <c r="G730" s="6">
        <v>44263</v>
      </c>
      <c r="H730" s="1">
        <v>2006</v>
      </c>
      <c r="I730" t="s">
        <v>89</v>
      </c>
      <c r="J730" s="1">
        <v>171</v>
      </c>
      <c r="K730" s="1" t="s">
        <v>28</v>
      </c>
      <c r="L730" s="1" t="s">
        <v>52</v>
      </c>
      <c r="M730" s="1">
        <v>8.8000000000000007</v>
      </c>
      <c r="N730" s="1">
        <v>54.22</v>
      </c>
      <c r="O730" s="1">
        <v>96672000</v>
      </c>
      <c r="P730" t="s">
        <v>2281</v>
      </c>
    </row>
    <row r="731" spans="1:16" x14ac:dyDescent="0.3">
      <c r="A731" s="1" t="s">
        <v>1688</v>
      </c>
      <c r="B731" s="1" t="s">
        <v>14</v>
      </c>
      <c r="C731" s="1" t="s">
        <v>1689</v>
      </c>
      <c r="D731" s="1" t="s">
        <v>16</v>
      </c>
      <c r="E731" s="1" t="s">
        <v>123</v>
      </c>
      <c r="F731" s="1" t="s">
        <v>26</v>
      </c>
      <c r="G731" s="6">
        <v>42681</v>
      </c>
      <c r="H731" s="1">
        <v>1998</v>
      </c>
      <c r="I731" t="s">
        <v>27</v>
      </c>
      <c r="J731" s="1">
        <v>7</v>
      </c>
      <c r="K731" s="1" t="s">
        <v>20</v>
      </c>
      <c r="L731" s="1" t="s">
        <v>46</v>
      </c>
      <c r="M731" s="1">
        <v>7.4</v>
      </c>
      <c r="N731" s="1">
        <v>100.98</v>
      </c>
      <c r="O731" s="1">
        <v>8277000</v>
      </c>
      <c r="P731" t="s">
        <v>2282</v>
      </c>
    </row>
    <row r="732" spans="1:16" x14ac:dyDescent="0.3">
      <c r="A732" s="1" t="s">
        <v>1690</v>
      </c>
      <c r="B732" s="1" t="s">
        <v>14</v>
      </c>
      <c r="C732" s="1" t="s">
        <v>1691</v>
      </c>
      <c r="D732" s="1" t="s">
        <v>24</v>
      </c>
      <c r="E732" s="1" t="s">
        <v>75</v>
      </c>
      <c r="F732" s="1" t="s">
        <v>33</v>
      </c>
      <c r="G732" s="6">
        <v>43020</v>
      </c>
      <c r="H732" s="1">
        <v>2022</v>
      </c>
      <c r="I732" t="s">
        <v>77</v>
      </c>
      <c r="J732" s="1">
        <v>2</v>
      </c>
      <c r="K732" s="1" t="s">
        <v>20</v>
      </c>
      <c r="L732" s="1" t="s">
        <v>21</v>
      </c>
      <c r="M732" s="1">
        <v>7.5</v>
      </c>
      <c r="N732" s="1">
        <v>47.55</v>
      </c>
      <c r="O732" s="1">
        <v>96195000</v>
      </c>
      <c r="P732" t="s">
        <v>2281</v>
      </c>
    </row>
    <row r="733" spans="1:16" hidden="1" x14ac:dyDescent="0.3">
      <c r="A733" s="1" t="s">
        <v>1692</v>
      </c>
      <c r="B733" s="1" t="s">
        <v>37</v>
      </c>
      <c r="C733" s="1" t="s">
        <v>1693</v>
      </c>
      <c r="D733" s="1" t="s">
        <v>16</v>
      </c>
      <c r="E733" s="1" t="s">
        <v>1092</v>
      </c>
      <c r="F733" s="1" t="s">
        <v>51</v>
      </c>
      <c r="G733" s="6">
        <v>44858</v>
      </c>
      <c r="H733" s="1">
        <v>2003</v>
      </c>
      <c r="I733" t="s">
        <v>27</v>
      </c>
      <c r="J733" s="1">
        <v>62</v>
      </c>
      <c r="K733" s="1" t="s">
        <v>28</v>
      </c>
      <c r="L733" s="1" t="s">
        <v>69</v>
      </c>
      <c r="M733" s="1">
        <v>9.1</v>
      </c>
      <c r="N733" s="1">
        <v>132.94999999999999</v>
      </c>
      <c r="O733" s="1">
        <v>76527000</v>
      </c>
      <c r="P733" t="s">
        <v>2281</v>
      </c>
    </row>
    <row r="734" spans="1:16" hidden="1" x14ac:dyDescent="0.3">
      <c r="A734" s="1" t="s">
        <v>1694</v>
      </c>
      <c r="B734" s="1" t="s">
        <v>37</v>
      </c>
      <c r="C734" s="1" t="s">
        <v>1695</v>
      </c>
      <c r="D734" s="1" t="s">
        <v>31</v>
      </c>
      <c r="E734" s="1" t="s">
        <v>1325</v>
      </c>
      <c r="F734" s="1" t="s">
        <v>76</v>
      </c>
      <c r="G734" s="6">
        <v>44645</v>
      </c>
      <c r="H734" s="1">
        <v>2016</v>
      </c>
      <c r="I734" t="s">
        <v>89</v>
      </c>
      <c r="J734" s="1">
        <v>176</v>
      </c>
      <c r="K734" s="1" t="s">
        <v>28</v>
      </c>
      <c r="L734" s="1" t="s">
        <v>35</v>
      </c>
      <c r="M734" s="1">
        <v>3.6</v>
      </c>
      <c r="N734" s="1">
        <v>80.33</v>
      </c>
      <c r="O734" s="1">
        <v>58843000</v>
      </c>
      <c r="P734" t="s">
        <v>2281</v>
      </c>
    </row>
    <row r="735" spans="1:16" hidden="1" x14ac:dyDescent="0.3">
      <c r="A735" s="1" t="s">
        <v>1696</v>
      </c>
      <c r="B735" s="1" t="s">
        <v>37</v>
      </c>
      <c r="C735" s="1" t="s">
        <v>1697</v>
      </c>
      <c r="D735" s="1" t="s">
        <v>24</v>
      </c>
      <c r="E735" s="1" t="s">
        <v>270</v>
      </c>
      <c r="F735" s="1" t="s">
        <v>158</v>
      </c>
      <c r="G735" s="6">
        <v>45017</v>
      </c>
      <c r="H735" s="1">
        <v>2017</v>
      </c>
      <c r="I735" t="s">
        <v>89</v>
      </c>
      <c r="J735" s="1">
        <v>127</v>
      </c>
      <c r="K735" s="1" t="s">
        <v>28</v>
      </c>
      <c r="L735" s="1" t="s">
        <v>21</v>
      </c>
      <c r="M735" s="1">
        <v>1.3</v>
      </c>
      <c r="N735" s="1">
        <v>122.51</v>
      </c>
      <c r="O735" s="1">
        <v>46995000</v>
      </c>
      <c r="P735" t="s">
        <v>2281</v>
      </c>
    </row>
    <row r="736" spans="1:16" hidden="1" x14ac:dyDescent="0.3">
      <c r="A736" s="1" t="s">
        <v>1698</v>
      </c>
      <c r="B736" s="1" t="s">
        <v>37</v>
      </c>
      <c r="C736" s="1" t="s">
        <v>1699</v>
      </c>
      <c r="D736" s="1" t="s">
        <v>49</v>
      </c>
      <c r="E736" s="1" t="s">
        <v>1566</v>
      </c>
      <c r="F736" s="1" t="s">
        <v>76</v>
      </c>
      <c r="G736" s="6">
        <v>42095</v>
      </c>
      <c r="H736" s="1">
        <v>2005</v>
      </c>
      <c r="I736" t="s">
        <v>89</v>
      </c>
      <c r="J736" s="1">
        <v>71</v>
      </c>
      <c r="K736" s="1" t="s">
        <v>28</v>
      </c>
      <c r="L736" s="1" t="s">
        <v>41</v>
      </c>
      <c r="M736" s="1">
        <v>3.1</v>
      </c>
      <c r="N736" s="1">
        <v>7.81</v>
      </c>
      <c r="O736" s="1">
        <v>79615000</v>
      </c>
      <c r="P736" t="s">
        <v>2282</v>
      </c>
    </row>
    <row r="737" spans="1:16" hidden="1" x14ac:dyDescent="0.3">
      <c r="A737" s="1" t="s">
        <v>1700</v>
      </c>
      <c r="B737" s="1" t="s">
        <v>37</v>
      </c>
      <c r="C737" s="1" t="s">
        <v>1701</v>
      </c>
      <c r="D737" s="1" t="s">
        <v>24</v>
      </c>
      <c r="E737" s="1" t="s">
        <v>72</v>
      </c>
      <c r="F737" s="1" t="s">
        <v>59</v>
      </c>
      <c r="G737" s="6">
        <v>42838</v>
      </c>
      <c r="H737" s="1">
        <v>2003</v>
      </c>
      <c r="I737" t="s">
        <v>77</v>
      </c>
      <c r="J737" s="1">
        <v>91</v>
      </c>
      <c r="K737" s="1" t="s">
        <v>28</v>
      </c>
      <c r="L737" s="1" t="s">
        <v>41</v>
      </c>
      <c r="M737" s="1">
        <v>3</v>
      </c>
      <c r="N737" s="1">
        <v>20.79</v>
      </c>
      <c r="O737" s="1">
        <v>98737000</v>
      </c>
      <c r="P737" t="s">
        <v>2281</v>
      </c>
    </row>
    <row r="738" spans="1:16" x14ac:dyDescent="0.3">
      <c r="A738" s="1" t="s">
        <v>1702</v>
      </c>
      <c r="B738" s="1" t="s">
        <v>14</v>
      </c>
      <c r="C738" s="1" t="s">
        <v>1703</v>
      </c>
      <c r="D738" s="1" t="s">
        <v>49</v>
      </c>
      <c r="E738" s="1" t="s">
        <v>111</v>
      </c>
      <c r="F738" s="1" t="s">
        <v>26</v>
      </c>
      <c r="G738" s="6">
        <v>43347</v>
      </c>
      <c r="H738" s="1">
        <v>2020</v>
      </c>
      <c r="I738" t="s">
        <v>34</v>
      </c>
      <c r="J738" s="1">
        <v>6</v>
      </c>
      <c r="K738" s="1" t="s">
        <v>20</v>
      </c>
      <c r="L738" s="1" t="s">
        <v>46</v>
      </c>
      <c r="M738" s="1">
        <v>2.2000000000000002</v>
      </c>
      <c r="N738" s="1">
        <v>101.1</v>
      </c>
      <c r="O738" s="1">
        <v>24474000</v>
      </c>
      <c r="P738" t="s">
        <v>2282</v>
      </c>
    </row>
    <row r="739" spans="1:16" x14ac:dyDescent="0.3">
      <c r="A739" s="1" t="s">
        <v>1704</v>
      </c>
      <c r="B739" s="1" t="s">
        <v>14</v>
      </c>
      <c r="C739" s="1" t="s">
        <v>1705</v>
      </c>
      <c r="D739" s="1" t="s">
        <v>39</v>
      </c>
      <c r="E739" s="1" t="s">
        <v>1706</v>
      </c>
      <c r="F739" s="1" t="s">
        <v>45</v>
      </c>
      <c r="G739" s="6">
        <v>43434</v>
      </c>
      <c r="H739" s="1">
        <v>2017</v>
      </c>
      <c r="I739" t="s">
        <v>55</v>
      </c>
      <c r="J739" s="1">
        <v>4</v>
      </c>
      <c r="K739" s="1" t="s">
        <v>20</v>
      </c>
      <c r="L739" s="1" t="s">
        <v>21</v>
      </c>
      <c r="M739" s="1">
        <v>9.1</v>
      </c>
      <c r="N739" s="1">
        <v>103.64</v>
      </c>
      <c r="O739" s="1">
        <v>94742000</v>
      </c>
      <c r="P739" t="s">
        <v>2282</v>
      </c>
    </row>
    <row r="740" spans="1:16" x14ac:dyDescent="0.3">
      <c r="A740" s="1" t="s">
        <v>1707</v>
      </c>
      <c r="B740" s="1" t="s">
        <v>14</v>
      </c>
      <c r="C740" s="1" t="s">
        <v>1708</v>
      </c>
      <c r="D740" s="1" t="s">
        <v>16</v>
      </c>
      <c r="E740" s="1" t="s">
        <v>50</v>
      </c>
      <c r="F740" s="1" t="s">
        <v>158</v>
      </c>
      <c r="G740" s="6">
        <v>42776</v>
      </c>
      <c r="H740" s="1">
        <v>2023</v>
      </c>
      <c r="I740" t="s">
        <v>19</v>
      </c>
      <c r="J740" s="1">
        <v>8</v>
      </c>
      <c r="K740" s="1" t="s">
        <v>20</v>
      </c>
      <c r="L740" s="1" t="s">
        <v>52</v>
      </c>
      <c r="M740" s="1">
        <v>8.4</v>
      </c>
      <c r="N740" s="1">
        <v>112.3</v>
      </c>
      <c r="O740" s="1">
        <v>94152000</v>
      </c>
      <c r="P740" t="s">
        <v>2282</v>
      </c>
    </row>
    <row r="741" spans="1:16" x14ac:dyDescent="0.3">
      <c r="A741" s="1" t="s">
        <v>1709</v>
      </c>
      <c r="B741" s="1" t="s">
        <v>14</v>
      </c>
      <c r="C741" s="1" t="s">
        <v>1710</v>
      </c>
      <c r="D741" s="1" t="s">
        <v>31</v>
      </c>
      <c r="E741" s="1" t="s">
        <v>232</v>
      </c>
      <c r="F741" s="1" t="s">
        <v>158</v>
      </c>
      <c r="G741" s="6">
        <v>43876</v>
      </c>
      <c r="H741" s="1">
        <v>2005</v>
      </c>
      <c r="I741" t="s">
        <v>19</v>
      </c>
      <c r="J741" s="1">
        <v>1</v>
      </c>
      <c r="K741" s="1" t="s">
        <v>20</v>
      </c>
      <c r="L741" s="1" t="s">
        <v>46</v>
      </c>
      <c r="M741" s="1">
        <v>5.6</v>
      </c>
      <c r="N741" s="1">
        <v>42.17</v>
      </c>
      <c r="O741" s="1">
        <v>33852000</v>
      </c>
      <c r="P741" t="s">
        <v>2281</v>
      </c>
    </row>
    <row r="742" spans="1:16" x14ac:dyDescent="0.3">
      <c r="A742" s="1" t="s">
        <v>1711</v>
      </c>
      <c r="B742" s="1" t="s">
        <v>14</v>
      </c>
      <c r="C742" s="1" t="s">
        <v>1712</v>
      </c>
      <c r="D742" s="1" t="s">
        <v>39</v>
      </c>
      <c r="E742" s="1" t="s">
        <v>354</v>
      </c>
      <c r="F742" s="1" t="s">
        <v>51</v>
      </c>
      <c r="G742" s="6">
        <v>44148</v>
      </c>
      <c r="H742" s="1">
        <v>1991</v>
      </c>
      <c r="I742" t="s">
        <v>55</v>
      </c>
      <c r="J742" s="1">
        <v>3</v>
      </c>
      <c r="K742" s="1" t="s">
        <v>20</v>
      </c>
      <c r="L742" s="1" t="s">
        <v>46</v>
      </c>
      <c r="M742" s="1">
        <v>4.9000000000000004</v>
      </c>
      <c r="N742" s="1">
        <v>36.76</v>
      </c>
      <c r="O742" s="1">
        <v>71200000</v>
      </c>
      <c r="P742" t="s">
        <v>2281</v>
      </c>
    </row>
    <row r="743" spans="1:16" hidden="1" x14ac:dyDescent="0.3">
      <c r="A743" s="1" t="s">
        <v>1713</v>
      </c>
      <c r="B743" s="1" t="s">
        <v>37</v>
      </c>
      <c r="C743" s="1" t="s">
        <v>1714</v>
      </c>
      <c r="D743" s="1" t="s">
        <v>62</v>
      </c>
      <c r="E743" s="1" t="s">
        <v>1558</v>
      </c>
      <c r="F743" s="1" t="s">
        <v>33</v>
      </c>
      <c r="G743" s="6">
        <v>44905</v>
      </c>
      <c r="H743" s="1">
        <v>2008</v>
      </c>
      <c r="I743" t="s">
        <v>55</v>
      </c>
      <c r="J743" s="1">
        <v>165</v>
      </c>
      <c r="K743" s="1" t="s">
        <v>28</v>
      </c>
      <c r="L743" s="1" t="s">
        <v>21</v>
      </c>
      <c r="M743" s="1">
        <v>5.0999999999999996</v>
      </c>
      <c r="N743" s="1">
        <v>49.9</v>
      </c>
      <c r="O743" s="1">
        <v>8135000</v>
      </c>
      <c r="P743" t="s">
        <v>2281</v>
      </c>
    </row>
    <row r="744" spans="1:16" x14ac:dyDescent="0.3">
      <c r="A744" s="1" t="s">
        <v>1715</v>
      </c>
      <c r="B744" s="1" t="s">
        <v>14</v>
      </c>
      <c r="C744" s="1" t="s">
        <v>1716</v>
      </c>
      <c r="D744" s="1" t="s">
        <v>24</v>
      </c>
      <c r="E744" s="1" t="s">
        <v>484</v>
      </c>
      <c r="F744" s="1" t="s">
        <v>26</v>
      </c>
      <c r="G744" s="6">
        <v>44629</v>
      </c>
      <c r="H744" s="1">
        <v>2023</v>
      </c>
      <c r="I744" t="s">
        <v>34</v>
      </c>
      <c r="J744" s="1">
        <v>6</v>
      </c>
      <c r="K744" s="1" t="s">
        <v>20</v>
      </c>
      <c r="L744" s="1" t="s">
        <v>46</v>
      </c>
      <c r="M744" s="1">
        <v>6.4</v>
      </c>
      <c r="N744" s="1">
        <v>49.54</v>
      </c>
      <c r="O744" s="1">
        <v>53489000</v>
      </c>
      <c r="P744" t="s">
        <v>2281</v>
      </c>
    </row>
    <row r="745" spans="1:16" x14ac:dyDescent="0.3">
      <c r="A745" s="1" t="s">
        <v>1717</v>
      </c>
      <c r="B745" s="1" t="s">
        <v>14</v>
      </c>
      <c r="C745" s="1" t="s">
        <v>1718</v>
      </c>
      <c r="D745" s="1" t="s">
        <v>49</v>
      </c>
      <c r="E745" s="1" t="s">
        <v>414</v>
      </c>
      <c r="F745" s="1" t="s">
        <v>33</v>
      </c>
      <c r="G745" s="6">
        <v>44502</v>
      </c>
      <c r="H745" s="1">
        <v>2023</v>
      </c>
      <c r="I745" t="s">
        <v>77</v>
      </c>
      <c r="J745" s="1">
        <v>8</v>
      </c>
      <c r="K745" s="1" t="s">
        <v>20</v>
      </c>
      <c r="L745" s="1" t="s">
        <v>52</v>
      </c>
      <c r="M745" s="1">
        <v>7.6</v>
      </c>
      <c r="N745" s="1">
        <v>10.65</v>
      </c>
      <c r="O745" s="1">
        <v>44536000</v>
      </c>
      <c r="P745" t="s">
        <v>2281</v>
      </c>
    </row>
    <row r="746" spans="1:16" hidden="1" x14ac:dyDescent="0.3">
      <c r="A746" s="1" t="s">
        <v>1719</v>
      </c>
      <c r="B746" s="1" t="s">
        <v>37</v>
      </c>
      <c r="C746" s="1" t="s">
        <v>1720</v>
      </c>
      <c r="D746" s="1" t="s">
        <v>62</v>
      </c>
      <c r="E746" s="1" t="s">
        <v>435</v>
      </c>
      <c r="F746" s="1" t="s">
        <v>76</v>
      </c>
      <c r="G746" s="6">
        <v>44412</v>
      </c>
      <c r="H746" s="1">
        <v>1995</v>
      </c>
      <c r="I746" t="s">
        <v>27</v>
      </c>
      <c r="J746" s="1">
        <v>99</v>
      </c>
      <c r="K746" s="1" t="s">
        <v>28</v>
      </c>
      <c r="L746" s="1" t="s">
        <v>52</v>
      </c>
      <c r="M746" s="1">
        <v>1.1000000000000001</v>
      </c>
      <c r="N746" s="1">
        <v>129.96</v>
      </c>
      <c r="O746" s="1">
        <v>27141000</v>
      </c>
      <c r="P746" t="s">
        <v>2282</v>
      </c>
    </row>
    <row r="747" spans="1:16" x14ac:dyDescent="0.3">
      <c r="A747" s="1" t="s">
        <v>1721</v>
      </c>
      <c r="B747" s="1" t="s">
        <v>14</v>
      </c>
      <c r="C747" s="1" t="s">
        <v>1722</v>
      </c>
      <c r="D747" s="1" t="s">
        <v>62</v>
      </c>
      <c r="E747" s="1" t="s">
        <v>133</v>
      </c>
      <c r="F747" s="1" t="s">
        <v>51</v>
      </c>
      <c r="G747" s="6">
        <v>44594</v>
      </c>
      <c r="H747" s="1">
        <v>1998</v>
      </c>
      <c r="I747" t="s">
        <v>27</v>
      </c>
      <c r="J747" s="1">
        <v>5</v>
      </c>
      <c r="K747" s="1" t="s">
        <v>20</v>
      </c>
      <c r="L747" s="1" t="s">
        <v>69</v>
      </c>
      <c r="M747" s="1">
        <v>6.3</v>
      </c>
      <c r="N747" s="1">
        <v>63.95</v>
      </c>
      <c r="O747" s="1">
        <v>80665000</v>
      </c>
      <c r="P747" t="s">
        <v>2282</v>
      </c>
    </row>
    <row r="748" spans="1:16" hidden="1" x14ac:dyDescent="0.3">
      <c r="A748" s="1" t="s">
        <v>1723</v>
      </c>
      <c r="B748" s="1" t="s">
        <v>37</v>
      </c>
      <c r="C748" s="1" t="s">
        <v>1724</v>
      </c>
      <c r="D748" s="1" t="s">
        <v>24</v>
      </c>
      <c r="E748" s="1" t="s">
        <v>133</v>
      </c>
      <c r="F748" s="1" t="s">
        <v>51</v>
      </c>
      <c r="G748" s="6">
        <v>43685</v>
      </c>
      <c r="H748" s="1">
        <v>1995</v>
      </c>
      <c r="I748" t="s">
        <v>34</v>
      </c>
      <c r="J748" s="1">
        <v>134</v>
      </c>
      <c r="K748" s="1" t="s">
        <v>28</v>
      </c>
      <c r="L748" s="1" t="s">
        <v>52</v>
      </c>
      <c r="M748" s="1">
        <v>5.7</v>
      </c>
      <c r="N748" s="1">
        <v>46.67</v>
      </c>
      <c r="O748" s="1">
        <v>77691000</v>
      </c>
      <c r="P748" t="s">
        <v>2282</v>
      </c>
    </row>
    <row r="749" spans="1:16" x14ac:dyDescent="0.3">
      <c r="A749" s="1" t="s">
        <v>1725</v>
      </c>
      <c r="B749" s="1" t="s">
        <v>14</v>
      </c>
      <c r="C749" s="1" t="s">
        <v>1726</v>
      </c>
      <c r="D749" s="1" t="s">
        <v>31</v>
      </c>
      <c r="E749" s="1" t="s">
        <v>141</v>
      </c>
      <c r="F749" s="1" t="s">
        <v>76</v>
      </c>
      <c r="G749" s="6">
        <v>44900</v>
      </c>
      <c r="H749" s="1">
        <v>2013</v>
      </c>
      <c r="I749" t="s">
        <v>55</v>
      </c>
      <c r="J749" s="1">
        <v>9</v>
      </c>
      <c r="K749" s="1" t="s">
        <v>20</v>
      </c>
      <c r="L749" s="1" t="s">
        <v>41</v>
      </c>
      <c r="M749" s="1">
        <v>6.9</v>
      </c>
      <c r="N749" s="1">
        <v>115.62</v>
      </c>
      <c r="O749" s="1">
        <v>40403000</v>
      </c>
      <c r="P749" t="s">
        <v>2281</v>
      </c>
    </row>
    <row r="750" spans="1:16" hidden="1" x14ac:dyDescent="0.3">
      <c r="A750" s="1" t="s">
        <v>1727</v>
      </c>
      <c r="B750" s="1" t="s">
        <v>37</v>
      </c>
      <c r="C750" s="1" t="s">
        <v>1728</v>
      </c>
      <c r="D750" s="1" t="s">
        <v>31</v>
      </c>
      <c r="E750" s="1" t="s">
        <v>195</v>
      </c>
      <c r="F750" s="1" t="s">
        <v>158</v>
      </c>
      <c r="G750" s="6">
        <v>44325</v>
      </c>
      <c r="H750" s="1">
        <v>2019</v>
      </c>
      <c r="I750" t="s">
        <v>19</v>
      </c>
      <c r="J750" s="1">
        <v>100</v>
      </c>
      <c r="K750" s="1" t="s">
        <v>28</v>
      </c>
      <c r="L750" s="1" t="s">
        <v>21</v>
      </c>
      <c r="M750" s="1">
        <v>8.4</v>
      </c>
      <c r="N750" s="1">
        <v>31.21</v>
      </c>
      <c r="O750" s="1">
        <v>19373000</v>
      </c>
      <c r="P750" t="s">
        <v>2281</v>
      </c>
    </row>
    <row r="751" spans="1:16" x14ac:dyDescent="0.3">
      <c r="A751" s="1" t="s">
        <v>1729</v>
      </c>
      <c r="B751" s="1" t="s">
        <v>14</v>
      </c>
      <c r="C751" s="1" t="s">
        <v>1730</v>
      </c>
      <c r="D751" s="1" t="s">
        <v>39</v>
      </c>
      <c r="E751" s="1" t="s">
        <v>270</v>
      </c>
      <c r="F751" s="1" t="s">
        <v>76</v>
      </c>
      <c r="G751" s="6">
        <v>42439</v>
      </c>
      <c r="H751" s="1">
        <v>1995</v>
      </c>
      <c r="I751" t="s">
        <v>27</v>
      </c>
      <c r="J751" s="1">
        <v>10</v>
      </c>
      <c r="K751" s="1" t="s">
        <v>20</v>
      </c>
      <c r="L751" s="1" t="s">
        <v>46</v>
      </c>
      <c r="M751" s="1">
        <v>3.5</v>
      </c>
      <c r="N751" s="1">
        <v>59.53</v>
      </c>
      <c r="O751" s="1">
        <v>9339000</v>
      </c>
      <c r="P751" t="s">
        <v>2281</v>
      </c>
    </row>
    <row r="752" spans="1:16" hidden="1" x14ac:dyDescent="0.3">
      <c r="A752" s="1" t="s">
        <v>1731</v>
      </c>
      <c r="B752" s="1" t="s">
        <v>37</v>
      </c>
      <c r="C752" s="1" t="s">
        <v>1732</v>
      </c>
      <c r="D752" s="1" t="s">
        <v>39</v>
      </c>
      <c r="E752" s="1" t="s">
        <v>1733</v>
      </c>
      <c r="F752" s="1" t="s">
        <v>51</v>
      </c>
      <c r="G752" s="6">
        <v>43850</v>
      </c>
      <c r="H752" s="1">
        <v>2012</v>
      </c>
      <c r="I752" t="s">
        <v>89</v>
      </c>
      <c r="J752" s="1">
        <v>149</v>
      </c>
      <c r="K752" s="1" t="s">
        <v>28</v>
      </c>
      <c r="L752" s="1" t="s">
        <v>41</v>
      </c>
      <c r="M752" s="1">
        <v>9.1999999999999993</v>
      </c>
      <c r="N752" s="1">
        <v>86.56</v>
      </c>
      <c r="O752" s="1">
        <v>15496000</v>
      </c>
      <c r="P752" t="s">
        <v>2281</v>
      </c>
    </row>
    <row r="753" spans="1:16" x14ac:dyDescent="0.3">
      <c r="A753" s="1" t="s">
        <v>1734</v>
      </c>
      <c r="B753" s="1" t="s">
        <v>14</v>
      </c>
      <c r="C753" s="1" t="s">
        <v>1735</v>
      </c>
      <c r="D753" s="1" t="s">
        <v>16</v>
      </c>
      <c r="E753" s="1" t="s">
        <v>72</v>
      </c>
      <c r="F753" s="1" t="s">
        <v>59</v>
      </c>
      <c r="G753" s="6">
        <v>44717</v>
      </c>
      <c r="H753" s="1">
        <v>1990</v>
      </c>
      <c r="I753" t="s">
        <v>89</v>
      </c>
      <c r="J753" s="1">
        <v>4</v>
      </c>
      <c r="K753" s="1" t="s">
        <v>20</v>
      </c>
      <c r="L753" s="1" t="s">
        <v>46</v>
      </c>
      <c r="M753" s="1">
        <v>2.8</v>
      </c>
      <c r="N753" s="1">
        <v>11.77</v>
      </c>
      <c r="O753" s="1">
        <v>44623000</v>
      </c>
      <c r="P753" t="s">
        <v>2282</v>
      </c>
    </row>
    <row r="754" spans="1:16" hidden="1" x14ac:dyDescent="0.3">
      <c r="A754" s="1" t="s">
        <v>1736</v>
      </c>
      <c r="B754" s="1" t="s">
        <v>37</v>
      </c>
      <c r="C754" s="1" t="s">
        <v>1737</v>
      </c>
      <c r="D754" s="1" t="s">
        <v>49</v>
      </c>
      <c r="E754" s="1" t="s">
        <v>138</v>
      </c>
      <c r="F754" s="1" t="s">
        <v>51</v>
      </c>
      <c r="G754" s="6">
        <v>44257</v>
      </c>
      <c r="H754" s="1">
        <v>2011</v>
      </c>
      <c r="I754" t="s">
        <v>55</v>
      </c>
      <c r="J754" s="1">
        <v>151</v>
      </c>
      <c r="K754" s="1" t="s">
        <v>28</v>
      </c>
      <c r="L754" s="1" t="s">
        <v>69</v>
      </c>
      <c r="M754" s="1">
        <v>4.4000000000000004</v>
      </c>
      <c r="N754" s="1">
        <v>65.39</v>
      </c>
      <c r="O754" s="1">
        <v>25921000</v>
      </c>
      <c r="P754" t="s">
        <v>2282</v>
      </c>
    </row>
    <row r="755" spans="1:16" x14ac:dyDescent="0.3">
      <c r="A755" s="1" t="s">
        <v>1738</v>
      </c>
      <c r="B755" s="1" t="s">
        <v>14</v>
      </c>
      <c r="C755" s="1" t="s">
        <v>1739</v>
      </c>
      <c r="D755" s="1" t="s">
        <v>31</v>
      </c>
      <c r="E755" s="1" t="s">
        <v>144</v>
      </c>
      <c r="F755" s="1" t="s">
        <v>51</v>
      </c>
      <c r="G755" s="6">
        <v>45209</v>
      </c>
      <c r="H755" s="1">
        <v>2004</v>
      </c>
      <c r="I755" t="s">
        <v>19</v>
      </c>
      <c r="J755" s="1">
        <v>3</v>
      </c>
      <c r="K755" s="1" t="s">
        <v>20</v>
      </c>
      <c r="L755" s="1" t="s">
        <v>46</v>
      </c>
      <c r="M755" s="1">
        <v>2.6</v>
      </c>
      <c r="N755" s="1">
        <v>25.57</v>
      </c>
      <c r="O755" s="1">
        <v>9616000</v>
      </c>
      <c r="P755" t="s">
        <v>2282</v>
      </c>
    </row>
    <row r="756" spans="1:16" hidden="1" x14ac:dyDescent="0.3">
      <c r="A756" s="1" t="s">
        <v>1740</v>
      </c>
      <c r="B756" s="1" t="s">
        <v>37</v>
      </c>
      <c r="C756" s="1" t="s">
        <v>1741</v>
      </c>
      <c r="D756" s="1" t="s">
        <v>62</v>
      </c>
      <c r="E756" s="1" t="s">
        <v>106</v>
      </c>
      <c r="F756" s="1" t="s">
        <v>45</v>
      </c>
      <c r="G756" s="6">
        <v>44685</v>
      </c>
      <c r="H756" s="1">
        <v>1994</v>
      </c>
      <c r="I756" t="s">
        <v>89</v>
      </c>
      <c r="J756" s="1">
        <v>143</v>
      </c>
      <c r="K756" s="1" t="s">
        <v>28</v>
      </c>
      <c r="L756" s="1" t="s">
        <v>21</v>
      </c>
      <c r="M756" s="1">
        <v>2.9</v>
      </c>
      <c r="N756" s="1">
        <v>14.3</v>
      </c>
      <c r="O756" s="1">
        <v>9315000</v>
      </c>
      <c r="P756" t="s">
        <v>2281</v>
      </c>
    </row>
    <row r="757" spans="1:16" hidden="1" x14ac:dyDescent="0.3">
      <c r="A757" s="1" t="s">
        <v>1742</v>
      </c>
      <c r="B757" s="1" t="s">
        <v>37</v>
      </c>
      <c r="C757" s="1" t="s">
        <v>1743</v>
      </c>
      <c r="D757" s="1" t="s">
        <v>49</v>
      </c>
      <c r="E757" s="1" t="s">
        <v>1744</v>
      </c>
      <c r="F757" s="1" t="s">
        <v>76</v>
      </c>
      <c r="G757" s="6">
        <v>43946</v>
      </c>
      <c r="H757" s="1">
        <v>2021</v>
      </c>
      <c r="I757" t="s">
        <v>55</v>
      </c>
      <c r="J757" s="1">
        <v>73</v>
      </c>
      <c r="K757" s="1" t="s">
        <v>28</v>
      </c>
      <c r="L757" s="1" t="s">
        <v>46</v>
      </c>
      <c r="M757" s="1">
        <v>7</v>
      </c>
      <c r="N757" s="1">
        <v>87.32</v>
      </c>
      <c r="O757" s="1">
        <v>20348000</v>
      </c>
      <c r="P757" t="s">
        <v>2282</v>
      </c>
    </row>
    <row r="758" spans="1:16" hidden="1" x14ac:dyDescent="0.3">
      <c r="A758" s="1" t="s">
        <v>1745</v>
      </c>
      <c r="B758" s="1" t="s">
        <v>37</v>
      </c>
      <c r="C758" s="1" t="s">
        <v>1746</v>
      </c>
      <c r="D758" s="1" t="s">
        <v>31</v>
      </c>
      <c r="E758" s="1" t="s">
        <v>344</v>
      </c>
      <c r="F758" s="1" t="s">
        <v>158</v>
      </c>
      <c r="G758" s="6">
        <v>42921</v>
      </c>
      <c r="H758" s="1">
        <v>1997</v>
      </c>
      <c r="I758" t="s">
        <v>34</v>
      </c>
      <c r="J758" s="1">
        <v>157</v>
      </c>
      <c r="K758" s="1" t="s">
        <v>28</v>
      </c>
      <c r="L758" s="1" t="s">
        <v>46</v>
      </c>
      <c r="M758" s="1">
        <v>4</v>
      </c>
      <c r="N758" s="1">
        <v>118.46</v>
      </c>
      <c r="O758" s="1">
        <v>30263000</v>
      </c>
      <c r="P758" t="s">
        <v>2281</v>
      </c>
    </row>
    <row r="759" spans="1:16" hidden="1" x14ac:dyDescent="0.3">
      <c r="A759" s="1" t="s">
        <v>1747</v>
      </c>
      <c r="B759" s="1" t="s">
        <v>37</v>
      </c>
      <c r="C759" s="1" t="s">
        <v>1748</v>
      </c>
      <c r="D759" s="1" t="s">
        <v>31</v>
      </c>
      <c r="E759" s="1" t="s">
        <v>92</v>
      </c>
      <c r="F759" s="1" t="s">
        <v>18</v>
      </c>
      <c r="G759" s="6">
        <v>43591</v>
      </c>
      <c r="H759" s="1">
        <v>1993</v>
      </c>
      <c r="I759" t="s">
        <v>19</v>
      </c>
      <c r="J759" s="1">
        <v>104</v>
      </c>
      <c r="K759" s="1" t="s">
        <v>28</v>
      </c>
      <c r="L759" s="1" t="s">
        <v>21</v>
      </c>
      <c r="M759" s="1">
        <v>7.8</v>
      </c>
      <c r="N759" s="1">
        <v>58.65</v>
      </c>
      <c r="O759" s="1">
        <v>88549000</v>
      </c>
      <c r="P759" t="s">
        <v>2282</v>
      </c>
    </row>
    <row r="760" spans="1:16" x14ac:dyDescent="0.3">
      <c r="A760" s="1" t="s">
        <v>1749</v>
      </c>
      <c r="B760" s="1" t="s">
        <v>14</v>
      </c>
      <c r="C760" s="1" t="s">
        <v>1750</v>
      </c>
      <c r="D760" s="1" t="s">
        <v>49</v>
      </c>
      <c r="E760" s="1" t="s">
        <v>75</v>
      </c>
      <c r="F760" s="1" t="s">
        <v>76</v>
      </c>
      <c r="G760" s="6">
        <v>43976</v>
      </c>
      <c r="H760" s="1">
        <v>2010</v>
      </c>
      <c r="I760" t="s">
        <v>55</v>
      </c>
      <c r="J760" s="1">
        <v>9</v>
      </c>
      <c r="K760" s="1" t="s">
        <v>20</v>
      </c>
      <c r="L760" s="1" t="s">
        <v>46</v>
      </c>
      <c r="M760" s="1">
        <v>4.0999999999999996</v>
      </c>
      <c r="N760" s="1">
        <v>139.44999999999999</v>
      </c>
      <c r="O760" s="1">
        <v>48795000</v>
      </c>
      <c r="P760" t="s">
        <v>2282</v>
      </c>
    </row>
    <row r="761" spans="1:16" x14ac:dyDescent="0.3">
      <c r="A761" s="1" t="s">
        <v>1751</v>
      </c>
      <c r="B761" s="1" t="s">
        <v>14</v>
      </c>
      <c r="C761" s="1" t="s">
        <v>1752</v>
      </c>
      <c r="D761" s="1" t="s">
        <v>31</v>
      </c>
      <c r="E761" s="1" t="s">
        <v>784</v>
      </c>
      <c r="F761" s="1" t="s">
        <v>59</v>
      </c>
      <c r="G761" s="6">
        <v>43899</v>
      </c>
      <c r="H761" s="1">
        <v>2006</v>
      </c>
      <c r="I761" t="s">
        <v>27</v>
      </c>
      <c r="J761" s="1">
        <v>2</v>
      </c>
      <c r="K761" s="1" t="s">
        <v>20</v>
      </c>
      <c r="L761" s="1" t="s">
        <v>52</v>
      </c>
      <c r="M761" s="1">
        <v>3.6</v>
      </c>
      <c r="N761" s="1">
        <v>104.23</v>
      </c>
      <c r="O761" s="1">
        <v>49279000</v>
      </c>
      <c r="P761" t="s">
        <v>2281</v>
      </c>
    </row>
    <row r="762" spans="1:16" hidden="1" x14ac:dyDescent="0.3">
      <c r="A762" s="1" t="s">
        <v>1753</v>
      </c>
      <c r="B762" s="1" t="s">
        <v>37</v>
      </c>
      <c r="C762" s="1" t="s">
        <v>1754</v>
      </c>
      <c r="D762" s="1" t="s">
        <v>39</v>
      </c>
      <c r="E762" s="1" t="s">
        <v>1755</v>
      </c>
      <c r="F762" s="1" t="s">
        <v>59</v>
      </c>
      <c r="G762" s="6">
        <v>43025</v>
      </c>
      <c r="H762" s="1">
        <v>2014</v>
      </c>
      <c r="I762" t="s">
        <v>27</v>
      </c>
      <c r="J762" s="1">
        <v>148</v>
      </c>
      <c r="K762" s="1" t="s">
        <v>28</v>
      </c>
      <c r="L762" s="1" t="s">
        <v>41</v>
      </c>
      <c r="M762" s="1">
        <v>1.7</v>
      </c>
      <c r="N762" s="1">
        <v>50.78</v>
      </c>
      <c r="O762" s="1">
        <v>18760000</v>
      </c>
      <c r="P762" t="s">
        <v>2282</v>
      </c>
    </row>
    <row r="763" spans="1:16" hidden="1" x14ac:dyDescent="0.3">
      <c r="A763" s="1" t="s">
        <v>1756</v>
      </c>
      <c r="B763" s="1" t="s">
        <v>37</v>
      </c>
      <c r="C763" s="1" t="s">
        <v>1757</v>
      </c>
      <c r="D763" s="1" t="s">
        <v>49</v>
      </c>
      <c r="E763" s="1" t="s">
        <v>1758</v>
      </c>
      <c r="F763" s="1" t="s">
        <v>33</v>
      </c>
      <c r="G763" s="6">
        <v>42522</v>
      </c>
      <c r="H763" s="1">
        <v>2009</v>
      </c>
      <c r="I763" t="s">
        <v>27</v>
      </c>
      <c r="J763" s="1">
        <v>159</v>
      </c>
      <c r="K763" s="1" t="s">
        <v>28</v>
      </c>
      <c r="L763" s="1" t="s">
        <v>41</v>
      </c>
      <c r="M763" s="1">
        <v>6.7</v>
      </c>
      <c r="N763" s="1">
        <v>39.68</v>
      </c>
      <c r="O763" s="1">
        <v>65777000</v>
      </c>
      <c r="P763" t="s">
        <v>2282</v>
      </c>
    </row>
    <row r="764" spans="1:16" hidden="1" x14ac:dyDescent="0.3">
      <c r="A764" s="1" t="s">
        <v>1759</v>
      </c>
      <c r="B764" s="1" t="s">
        <v>37</v>
      </c>
      <c r="C764" s="1" t="s">
        <v>1760</v>
      </c>
      <c r="D764" s="1" t="s">
        <v>16</v>
      </c>
      <c r="E764" s="1" t="s">
        <v>17</v>
      </c>
      <c r="F764" s="1" t="s">
        <v>59</v>
      </c>
      <c r="G764" s="6">
        <v>42391</v>
      </c>
      <c r="H764" s="1">
        <v>2003</v>
      </c>
      <c r="I764" t="s">
        <v>77</v>
      </c>
      <c r="J764" s="1">
        <v>81</v>
      </c>
      <c r="K764" s="1" t="s">
        <v>28</v>
      </c>
      <c r="L764" s="1" t="s">
        <v>41</v>
      </c>
      <c r="M764" s="1">
        <v>4.3</v>
      </c>
      <c r="N764" s="1">
        <v>26.45</v>
      </c>
      <c r="O764" s="1">
        <v>98411000</v>
      </c>
      <c r="P764" t="s">
        <v>2282</v>
      </c>
    </row>
    <row r="765" spans="1:16" hidden="1" x14ac:dyDescent="0.3">
      <c r="A765" s="1" t="s">
        <v>1761</v>
      </c>
      <c r="B765" s="1" t="s">
        <v>37</v>
      </c>
      <c r="C765" s="1" t="s">
        <v>1762</v>
      </c>
      <c r="D765" s="1" t="s">
        <v>31</v>
      </c>
      <c r="E765" s="1" t="s">
        <v>92</v>
      </c>
      <c r="F765" s="1" t="s">
        <v>26</v>
      </c>
      <c r="G765" s="6">
        <v>42133</v>
      </c>
      <c r="H765" s="1">
        <v>2022</v>
      </c>
      <c r="I765" t="s">
        <v>19</v>
      </c>
      <c r="J765" s="1">
        <v>111</v>
      </c>
      <c r="K765" s="1" t="s">
        <v>28</v>
      </c>
      <c r="L765" s="1" t="s">
        <v>21</v>
      </c>
      <c r="M765" s="1">
        <v>3.4</v>
      </c>
      <c r="N765" s="1">
        <v>74.56</v>
      </c>
      <c r="O765" s="1">
        <v>2928000</v>
      </c>
      <c r="P765" t="s">
        <v>2281</v>
      </c>
    </row>
    <row r="766" spans="1:16" hidden="1" x14ac:dyDescent="0.3">
      <c r="A766" s="1" t="s">
        <v>1763</v>
      </c>
      <c r="B766" s="1" t="s">
        <v>37</v>
      </c>
      <c r="C766" s="1" t="s">
        <v>1764</v>
      </c>
      <c r="D766" s="1" t="s">
        <v>31</v>
      </c>
      <c r="E766" s="1" t="s">
        <v>17</v>
      </c>
      <c r="F766" s="1" t="s">
        <v>45</v>
      </c>
      <c r="G766" s="6">
        <v>44212</v>
      </c>
      <c r="H766" s="1">
        <v>2004</v>
      </c>
      <c r="I766" t="s">
        <v>89</v>
      </c>
      <c r="J766" s="1">
        <v>103</v>
      </c>
      <c r="K766" s="1" t="s">
        <v>28</v>
      </c>
      <c r="L766" s="1" t="s">
        <v>46</v>
      </c>
      <c r="M766" s="1">
        <v>9.5</v>
      </c>
      <c r="N766" s="1">
        <v>32.659999999999997</v>
      </c>
      <c r="O766" s="1">
        <v>80137000</v>
      </c>
      <c r="P766" t="s">
        <v>2282</v>
      </c>
    </row>
    <row r="767" spans="1:16" hidden="1" x14ac:dyDescent="0.3">
      <c r="A767" s="1" t="s">
        <v>1765</v>
      </c>
      <c r="B767" s="1" t="s">
        <v>37</v>
      </c>
      <c r="C767" s="1" t="s">
        <v>1766</v>
      </c>
      <c r="D767" s="1" t="s">
        <v>39</v>
      </c>
      <c r="E767" s="1" t="s">
        <v>120</v>
      </c>
      <c r="F767" s="1" t="s">
        <v>26</v>
      </c>
      <c r="G767" s="6">
        <v>42028</v>
      </c>
      <c r="H767" s="1">
        <v>2007</v>
      </c>
      <c r="I767" t="s">
        <v>27</v>
      </c>
      <c r="J767" s="1">
        <v>177</v>
      </c>
      <c r="K767" s="1" t="s">
        <v>28</v>
      </c>
      <c r="L767" s="1" t="s">
        <v>35</v>
      </c>
      <c r="M767" s="1">
        <v>5.4</v>
      </c>
      <c r="N767" s="1">
        <v>28.19</v>
      </c>
      <c r="O767" s="1">
        <v>14820000</v>
      </c>
      <c r="P767" t="s">
        <v>2282</v>
      </c>
    </row>
    <row r="768" spans="1:16" hidden="1" x14ac:dyDescent="0.3">
      <c r="A768" s="1" t="s">
        <v>1767</v>
      </c>
      <c r="B768" s="1" t="s">
        <v>37</v>
      </c>
      <c r="C768" s="1" t="s">
        <v>1768</v>
      </c>
      <c r="D768" s="1" t="s">
        <v>72</v>
      </c>
      <c r="E768" s="1" t="s">
        <v>192</v>
      </c>
      <c r="F768" s="1" t="s">
        <v>158</v>
      </c>
      <c r="G768" s="6">
        <v>42471</v>
      </c>
      <c r="H768" s="1">
        <v>1992</v>
      </c>
      <c r="I768" t="s">
        <v>77</v>
      </c>
      <c r="J768" s="1">
        <v>166</v>
      </c>
      <c r="K768" s="1" t="s">
        <v>28</v>
      </c>
      <c r="L768" s="1" t="s">
        <v>69</v>
      </c>
      <c r="M768" s="1">
        <v>8.1</v>
      </c>
      <c r="N768" s="1">
        <v>14.08</v>
      </c>
      <c r="O768" s="1">
        <v>44346000</v>
      </c>
      <c r="P768" t="s">
        <v>2282</v>
      </c>
    </row>
    <row r="769" spans="1:16" hidden="1" x14ac:dyDescent="0.3">
      <c r="A769" s="1" t="s">
        <v>1769</v>
      </c>
      <c r="B769" s="1" t="s">
        <v>37</v>
      </c>
      <c r="C769" s="1" t="s">
        <v>1770</v>
      </c>
      <c r="D769" s="1" t="s">
        <v>49</v>
      </c>
      <c r="E769" s="1" t="s">
        <v>117</v>
      </c>
      <c r="F769" s="1" t="s">
        <v>158</v>
      </c>
      <c r="G769" s="6">
        <v>45226</v>
      </c>
      <c r="H769" s="1">
        <v>2020</v>
      </c>
      <c r="I769" t="s">
        <v>55</v>
      </c>
      <c r="J769" s="1">
        <v>119</v>
      </c>
      <c r="K769" s="1" t="s">
        <v>28</v>
      </c>
      <c r="L769" s="1" t="s">
        <v>41</v>
      </c>
      <c r="M769" s="1">
        <v>3.9</v>
      </c>
      <c r="N769" s="1">
        <v>20.62</v>
      </c>
      <c r="O769" s="1">
        <v>10456000</v>
      </c>
      <c r="P769" t="s">
        <v>2282</v>
      </c>
    </row>
    <row r="770" spans="1:16" hidden="1" x14ac:dyDescent="0.3">
      <c r="A770" s="1" t="s">
        <v>1771</v>
      </c>
      <c r="B770" s="1" t="s">
        <v>37</v>
      </c>
      <c r="C770" s="1" t="s">
        <v>1772</v>
      </c>
      <c r="D770" s="1" t="s">
        <v>39</v>
      </c>
      <c r="E770" s="1" t="s">
        <v>40</v>
      </c>
      <c r="F770" s="1" t="s">
        <v>51</v>
      </c>
      <c r="G770" s="6">
        <v>43650</v>
      </c>
      <c r="H770" s="1">
        <v>2016</v>
      </c>
      <c r="I770" t="s">
        <v>34</v>
      </c>
      <c r="J770" s="1">
        <v>88</v>
      </c>
      <c r="K770" s="1" t="s">
        <v>28</v>
      </c>
      <c r="L770" s="1" t="s">
        <v>35</v>
      </c>
      <c r="M770" s="1">
        <v>8.8000000000000007</v>
      </c>
      <c r="N770" s="1">
        <v>145.53</v>
      </c>
      <c r="O770" s="1">
        <v>44746000</v>
      </c>
      <c r="P770" t="s">
        <v>2281</v>
      </c>
    </row>
    <row r="771" spans="1:16" x14ac:dyDescent="0.3">
      <c r="A771" s="1" t="s">
        <v>1773</v>
      </c>
      <c r="B771" s="1" t="s">
        <v>14</v>
      </c>
      <c r="C771" s="1" t="s">
        <v>1774</v>
      </c>
      <c r="D771" s="1" t="s">
        <v>31</v>
      </c>
      <c r="E771" s="1" t="s">
        <v>1003</v>
      </c>
      <c r="F771" s="1" t="s">
        <v>59</v>
      </c>
      <c r="G771" s="6">
        <v>42912</v>
      </c>
      <c r="H771" s="1">
        <v>1990</v>
      </c>
      <c r="I771" t="s">
        <v>34</v>
      </c>
      <c r="J771" s="1">
        <v>3</v>
      </c>
      <c r="K771" s="1" t="s">
        <v>20</v>
      </c>
      <c r="L771" s="1" t="s">
        <v>41</v>
      </c>
      <c r="M771" s="1">
        <v>6.2</v>
      </c>
      <c r="N771" s="1">
        <v>107.34</v>
      </c>
      <c r="O771" s="1">
        <v>99715000</v>
      </c>
      <c r="P771" t="s">
        <v>2281</v>
      </c>
    </row>
    <row r="772" spans="1:16" hidden="1" x14ac:dyDescent="0.3">
      <c r="A772" s="1" t="s">
        <v>1775</v>
      </c>
      <c r="B772" s="1" t="s">
        <v>37</v>
      </c>
      <c r="C772" s="1" t="s">
        <v>1776</v>
      </c>
      <c r="D772" s="1" t="s">
        <v>24</v>
      </c>
      <c r="E772" s="1" t="s">
        <v>111</v>
      </c>
      <c r="F772" s="1" t="s">
        <v>45</v>
      </c>
      <c r="G772" s="6">
        <v>44869</v>
      </c>
      <c r="H772" s="1">
        <v>1993</v>
      </c>
      <c r="I772" t="s">
        <v>34</v>
      </c>
      <c r="J772" s="1">
        <v>169</v>
      </c>
      <c r="K772" s="1" t="s">
        <v>28</v>
      </c>
      <c r="L772" s="1" t="s">
        <v>46</v>
      </c>
      <c r="M772" s="1">
        <v>6.4</v>
      </c>
      <c r="N772" s="1">
        <v>124.36</v>
      </c>
      <c r="O772" s="1">
        <v>72489000</v>
      </c>
      <c r="P772" t="s">
        <v>2281</v>
      </c>
    </row>
    <row r="773" spans="1:16" hidden="1" x14ac:dyDescent="0.3">
      <c r="A773" s="1" t="s">
        <v>1777</v>
      </c>
      <c r="B773" s="1" t="s">
        <v>37</v>
      </c>
      <c r="C773" s="1" t="s">
        <v>1778</v>
      </c>
      <c r="D773" s="1" t="s">
        <v>72</v>
      </c>
      <c r="E773" s="1" t="s">
        <v>72</v>
      </c>
      <c r="F773" s="1" t="s">
        <v>18</v>
      </c>
      <c r="G773" s="6">
        <v>43686</v>
      </c>
      <c r="H773" s="1">
        <v>2007</v>
      </c>
      <c r="I773" t="s">
        <v>55</v>
      </c>
      <c r="J773" s="1">
        <v>110</v>
      </c>
      <c r="K773" s="1" t="s">
        <v>28</v>
      </c>
      <c r="L773" s="1" t="s">
        <v>21</v>
      </c>
      <c r="M773" s="1">
        <v>8</v>
      </c>
      <c r="N773" s="1">
        <v>137.93</v>
      </c>
      <c r="O773" s="1">
        <v>16812000</v>
      </c>
      <c r="P773" t="s">
        <v>2282</v>
      </c>
    </row>
    <row r="774" spans="1:16" hidden="1" x14ac:dyDescent="0.3">
      <c r="A774" s="1" t="s">
        <v>1779</v>
      </c>
      <c r="B774" s="1" t="s">
        <v>37</v>
      </c>
      <c r="C774" s="1" t="s">
        <v>1780</v>
      </c>
      <c r="D774" s="1" t="s">
        <v>24</v>
      </c>
      <c r="E774" s="1" t="s">
        <v>1781</v>
      </c>
      <c r="F774" s="1" t="s">
        <v>33</v>
      </c>
      <c r="G774" s="6">
        <v>44494</v>
      </c>
      <c r="H774" s="1">
        <v>1994</v>
      </c>
      <c r="I774" t="s">
        <v>27</v>
      </c>
      <c r="J774" s="1">
        <v>86</v>
      </c>
      <c r="K774" s="1" t="s">
        <v>28</v>
      </c>
      <c r="L774" s="1" t="s">
        <v>52</v>
      </c>
      <c r="M774" s="1">
        <v>1.3</v>
      </c>
      <c r="N774" s="1">
        <v>81.45</v>
      </c>
      <c r="O774" s="1">
        <v>40921000</v>
      </c>
      <c r="P774" t="s">
        <v>2282</v>
      </c>
    </row>
    <row r="775" spans="1:16" hidden="1" x14ac:dyDescent="0.3">
      <c r="A775" s="1" t="s">
        <v>1782</v>
      </c>
      <c r="B775" s="1" t="s">
        <v>37</v>
      </c>
      <c r="C775" s="1" t="s">
        <v>1783</v>
      </c>
      <c r="D775" s="1" t="s">
        <v>16</v>
      </c>
      <c r="E775" s="1" t="s">
        <v>75</v>
      </c>
      <c r="F775" s="1" t="s">
        <v>26</v>
      </c>
      <c r="G775" s="6">
        <v>44117</v>
      </c>
      <c r="H775" s="1">
        <v>2020</v>
      </c>
      <c r="I775" t="s">
        <v>89</v>
      </c>
      <c r="J775" s="1">
        <v>179</v>
      </c>
      <c r="K775" s="1" t="s">
        <v>28</v>
      </c>
      <c r="L775" s="1" t="s">
        <v>52</v>
      </c>
      <c r="M775" s="1">
        <v>4.3</v>
      </c>
      <c r="N775" s="1">
        <v>8.67</v>
      </c>
      <c r="O775" s="1">
        <v>23565000</v>
      </c>
      <c r="P775" t="s">
        <v>2282</v>
      </c>
    </row>
    <row r="776" spans="1:16" x14ac:dyDescent="0.3">
      <c r="A776" s="1" t="s">
        <v>1784</v>
      </c>
      <c r="B776" s="1" t="s">
        <v>14</v>
      </c>
      <c r="C776" s="1" t="s">
        <v>1785</v>
      </c>
      <c r="D776" s="1" t="s">
        <v>31</v>
      </c>
      <c r="E776" s="1" t="s">
        <v>717</v>
      </c>
      <c r="F776" s="1" t="s">
        <v>45</v>
      </c>
      <c r="G776" s="6">
        <v>42482</v>
      </c>
      <c r="H776" s="1">
        <v>2016</v>
      </c>
      <c r="I776" t="s">
        <v>55</v>
      </c>
      <c r="J776" s="1">
        <v>3</v>
      </c>
      <c r="K776" s="1" t="s">
        <v>20</v>
      </c>
      <c r="L776" s="1" t="s">
        <v>21</v>
      </c>
      <c r="M776" s="1">
        <v>7.7</v>
      </c>
      <c r="N776" s="1">
        <v>103.15</v>
      </c>
      <c r="O776" s="1">
        <v>39485000</v>
      </c>
      <c r="P776" t="s">
        <v>2282</v>
      </c>
    </row>
    <row r="777" spans="1:16" hidden="1" x14ac:dyDescent="0.3">
      <c r="A777" s="1" t="s">
        <v>1786</v>
      </c>
      <c r="B777" s="1" t="s">
        <v>37</v>
      </c>
      <c r="C777" s="1" t="s">
        <v>1787</v>
      </c>
      <c r="D777" s="1" t="s">
        <v>16</v>
      </c>
      <c r="E777" s="1" t="s">
        <v>92</v>
      </c>
      <c r="F777" s="1" t="s">
        <v>51</v>
      </c>
      <c r="G777" s="6">
        <v>43261</v>
      </c>
      <c r="H777" s="1">
        <v>1996</v>
      </c>
      <c r="I777" t="s">
        <v>19</v>
      </c>
      <c r="J777" s="1">
        <v>129</v>
      </c>
      <c r="K777" s="1" t="s">
        <v>28</v>
      </c>
      <c r="L777" s="1" t="s">
        <v>21</v>
      </c>
      <c r="M777" s="1">
        <v>7.4</v>
      </c>
      <c r="N777" s="1">
        <v>135.58000000000001</v>
      </c>
      <c r="O777" s="1">
        <v>6995000</v>
      </c>
      <c r="P777" t="s">
        <v>2281</v>
      </c>
    </row>
    <row r="778" spans="1:16" x14ac:dyDescent="0.3">
      <c r="A778" s="1" t="s">
        <v>1788</v>
      </c>
      <c r="B778" s="1" t="s">
        <v>14</v>
      </c>
      <c r="C778" s="1" t="s">
        <v>1789</v>
      </c>
      <c r="D778" s="1" t="s">
        <v>39</v>
      </c>
      <c r="E778" s="1" t="s">
        <v>1790</v>
      </c>
      <c r="F778" s="1" t="s">
        <v>45</v>
      </c>
      <c r="G778" s="6">
        <v>42673</v>
      </c>
      <c r="H778" s="1">
        <v>1999</v>
      </c>
      <c r="I778" t="s">
        <v>89</v>
      </c>
      <c r="J778" s="1">
        <v>4</v>
      </c>
      <c r="K778" s="1" t="s">
        <v>20</v>
      </c>
      <c r="L778" s="1" t="s">
        <v>21</v>
      </c>
      <c r="M778" s="1">
        <v>6.6</v>
      </c>
      <c r="N778" s="1">
        <v>37.85</v>
      </c>
      <c r="O778" s="1">
        <v>48570000</v>
      </c>
      <c r="P778" t="s">
        <v>2281</v>
      </c>
    </row>
    <row r="779" spans="1:16" x14ac:dyDescent="0.3">
      <c r="A779" s="1" t="s">
        <v>1791</v>
      </c>
      <c r="B779" s="1" t="s">
        <v>14</v>
      </c>
      <c r="C779" s="1" t="s">
        <v>1792</v>
      </c>
      <c r="D779" s="1" t="s">
        <v>39</v>
      </c>
      <c r="E779" s="1" t="s">
        <v>111</v>
      </c>
      <c r="F779" s="1" t="s">
        <v>158</v>
      </c>
      <c r="G779" s="6">
        <v>45290</v>
      </c>
      <c r="H779" s="1">
        <v>2004</v>
      </c>
      <c r="I779" t="s">
        <v>27</v>
      </c>
      <c r="J779" s="1">
        <v>1</v>
      </c>
      <c r="K779" s="1" t="s">
        <v>20</v>
      </c>
      <c r="L779" s="1" t="s">
        <v>52</v>
      </c>
      <c r="M779" s="1">
        <v>4.9000000000000004</v>
      </c>
      <c r="N779" s="1">
        <v>49.93</v>
      </c>
      <c r="O779" s="1">
        <v>71178000</v>
      </c>
      <c r="P779" t="s">
        <v>2281</v>
      </c>
    </row>
    <row r="780" spans="1:16" hidden="1" x14ac:dyDescent="0.3">
      <c r="A780" s="1" t="s">
        <v>1793</v>
      </c>
      <c r="B780" s="1" t="s">
        <v>37</v>
      </c>
      <c r="C780" s="1" t="s">
        <v>1794</v>
      </c>
      <c r="D780" s="1" t="s">
        <v>72</v>
      </c>
      <c r="E780" s="1" t="s">
        <v>63</v>
      </c>
      <c r="F780" s="1" t="s">
        <v>45</v>
      </c>
      <c r="G780" s="6">
        <v>43593</v>
      </c>
      <c r="H780" s="1">
        <v>2022</v>
      </c>
      <c r="I780" t="s">
        <v>89</v>
      </c>
      <c r="J780" s="1">
        <v>79</v>
      </c>
      <c r="K780" s="1" t="s">
        <v>28</v>
      </c>
      <c r="L780" s="1" t="s">
        <v>69</v>
      </c>
      <c r="M780" s="1">
        <v>1.3</v>
      </c>
      <c r="N780" s="1">
        <v>80.239999999999995</v>
      </c>
      <c r="O780" s="1">
        <v>42985000</v>
      </c>
      <c r="P780" t="s">
        <v>2282</v>
      </c>
    </row>
    <row r="781" spans="1:16" hidden="1" x14ac:dyDescent="0.3">
      <c r="A781" s="1" t="s">
        <v>1795</v>
      </c>
      <c r="B781" s="1" t="s">
        <v>37</v>
      </c>
      <c r="C781" s="1" t="s">
        <v>1796</v>
      </c>
      <c r="D781" s="1" t="s">
        <v>72</v>
      </c>
      <c r="E781" s="1" t="s">
        <v>249</v>
      </c>
      <c r="F781" s="1" t="s">
        <v>33</v>
      </c>
      <c r="G781" s="6">
        <v>42734</v>
      </c>
      <c r="H781" s="1">
        <v>2010</v>
      </c>
      <c r="I781" t="s">
        <v>55</v>
      </c>
      <c r="J781" s="1">
        <v>140</v>
      </c>
      <c r="K781" s="1" t="s">
        <v>28</v>
      </c>
      <c r="L781" s="1" t="s">
        <v>21</v>
      </c>
      <c r="M781" s="1">
        <v>6.8</v>
      </c>
      <c r="N781" s="1">
        <v>16.32</v>
      </c>
      <c r="O781" s="1">
        <v>31795000</v>
      </c>
      <c r="P781" t="s">
        <v>2281</v>
      </c>
    </row>
    <row r="782" spans="1:16" hidden="1" x14ac:dyDescent="0.3">
      <c r="A782" s="1" t="s">
        <v>1797</v>
      </c>
      <c r="B782" s="1" t="s">
        <v>37</v>
      </c>
      <c r="C782" s="1" t="s">
        <v>1798</v>
      </c>
      <c r="D782" s="1" t="s">
        <v>16</v>
      </c>
      <c r="E782" s="1" t="s">
        <v>72</v>
      </c>
      <c r="F782" s="1" t="s">
        <v>59</v>
      </c>
      <c r="G782" s="6">
        <v>43624</v>
      </c>
      <c r="H782" s="1">
        <v>2005</v>
      </c>
      <c r="I782" t="s">
        <v>89</v>
      </c>
      <c r="J782" s="1">
        <v>112</v>
      </c>
      <c r="K782" s="1" t="s">
        <v>28</v>
      </c>
      <c r="L782" s="1" t="s">
        <v>46</v>
      </c>
      <c r="M782" s="1">
        <v>7.3</v>
      </c>
      <c r="N782" s="1">
        <v>139.04</v>
      </c>
      <c r="O782" s="1">
        <v>43870000</v>
      </c>
      <c r="P782" t="s">
        <v>2281</v>
      </c>
    </row>
    <row r="783" spans="1:16" hidden="1" x14ac:dyDescent="0.3">
      <c r="A783" s="1" t="s">
        <v>1799</v>
      </c>
      <c r="B783" s="1" t="s">
        <v>37</v>
      </c>
      <c r="C783" s="1" t="s">
        <v>1800</v>
      </c>
      <c r="D783" s="1" t="s">
        <v>31</v>
      </c>
      <c r="E783" s="1" t="s">
        <v>50</v>
      </c>
      <c r="F783" s="1" t="s">
        <v>158</v>
      </c>
      <c r="G783" s="6">
        <v>44111</v>
      </c>
      <c r="H783" s="1">
        <v>2006</v>
      </c>
      <c r="I783" t="s">
        <v>19</v>
      </c>
      <c r="J783" s="1">
        <v>122</v>
      </c>
      <c r="K783" s="1" t="s">
        <v>28</v>
      </c>
      <c r="L783" s="1" t="s">
        <v>35</v>
      </c>
      <c r="M783" s="1">
        <v>1.1000000000000001</v>
      </c>
      <c r="N783" s="1">
        <v>35.21</v>
      </c>
      <c r="O783" s="1">
        <v>2110000</v>
      </c>
      <c r="P783" t="s">
        <v>2281</v>
      </c>
    </row>
    <row r="784" spans="1:16" hidden="1" x14ac:dyDescent="0.3">
      <c r="A784" s="1" t="s">
        <v>1801</v>
      </c>
      <c r="B784" s="1" t="s">
        <v>37</v>
      </c>
      <c r="C784" s="1" t="s">
        <v>1802</v>
      </c>
      <c r="D784" s="1" t="s">
        <v>24</v>
      </c>
      <c r="E784" s="1" t="s">
        <v>1803</v>
      </c>
      <c r="F784" s="1" t="s">
        <v>33</v>
      </c>
      <c r="G784" s="6">
        <v>42222</v>
      </c>
      <c r="H784" s="1">
        <v>2021</v>
      </c>
      <c r="I784" t="s">
        <v>89</v>
      </c>
      <c r="J784" s="1">
        <v>140</v>
      </c>
      <c r="K784" s="1" t="s">
        <v>28</v>
      </c>
      <c r="L784" s="1" t="s">
        <v>69</v>
      </c>
      <c r="M784" s="1">
        <v>9.9</v>
      </c>
      <c r="N784" s="1">
        <v>18.690000000000001</v>
      </c>
      <c r="O784" s="1">
        <v>62640000</v>
      </c>
      <c r="P784" t="s">
        <v>2282</v>
      </c>
    </row>
    <row r="785" spans="1:16" x14ac:dyDescent="0.3">
      <c r="A785" s="1" t="s">
        <v>1804</v>
      </c>
      <c r="B785" s="1" t="s">
        <v>14</v>
      </c>
      <c r="C785" s="1" t="s">
        <v>1805</v>
      </c>
      <c r="D785" s="1" t="s">
        <v>62</v>
      </c>
      <c r="E785" s="1" t="s">
        <v>1558</v>
      </c>
      <c r="F785" s="1" t="s">
        <v>76</v>
      </c>
      <c r="G785" s="6">
        <v>43510</v>
      </c>
      <c r="H785" s="1">
        <v>2020</v>
      </c>
      <c r="I785" t="s">
        <v>55</v>
      </c>
      <c r="J785" s="1">
        <v>8</v>
      </c>
      <c r="K785" s="1" t="s">
        <v>20</v>
      </c>
      <c r="L785" s="1" t="s">
        <v>41</v>
      </c>
      <c r="M785" s="1">
        <v>3.5</v>
      </c>
      <c r="N785" s="1">
        <v>77.959999999999994</v>
      </c>
      <c r="O785" s="1">
        <v>97544000</v>
      </c>
      <c r="P785" t="s">
        <v>2281</v>
      </c>
    </row>
    <row r="786" spans="1:16" x14ac:dyDescent="0.3">
      <c r="A786" s="1" t="s">
        <v>1806</v>
      </c>
      <c r="B786" s="1" t="s">
        <v>14</v>
      </c>
      <c r="C786" s="1" t="s">
        <v>1807</v>
      </c>
      <c r="D786" s="1" t="s">
        <v>31</v>
      </c>
      <c r="E786" s="1" t="s">
        <v>1612</v>
      </c>
      <c r="F786" s="1" t="s">
        <v>26</v>
      </c>
      <c r="G786" s="6">
        <v>43470</v>
      </c>
      <c r="H786" s="1">
        <v>1994</v>
      </c>
      <c r="I786" t="s">
        <v>19</v>
      </c>
      <c r="J786" s="1">
        <v>5</v>
      </c>
      <c r="K786" s="1" t="s">
        <v>20</v>
      </c>
      <c r="L786" s="1" t="s">
        <v>46</v>
      </c>
      <c r="M786" s="1">
        <v>9.4</v>
      </c>
      <c r="N786" s="1">
        <v>93.57</v>
      </c>
      <c r="O786" s="1">
        <v>27515000</v>
      </c>
      <c r="P786" t="s">
        <v>2282</v>
      </c>
    </row>
    <row r="787" spans="1:16" hidden="1" x14ac:dyDescent="0.3">
      <c r="A787" s="1" t="s">
        <v>1808</v>
      </c>
      <c r="B787" s="1" t="s">
        <v>37</v>
      </c>
      <c r="C787" s="1" t="s">
        <v>1809</v>
      </c>
      <c r="D787" s="1" t="s">
        <v>31</v>
      </c>
      <c r="E787" s="1" t="s">
        <v>75</v>
      </c>
      <c r="F787" s="1" t="s">
        <v>18</v>
      </c>
      <c r="G787" s="6">
        <v>44331</v>
      </c>
      <c r="H787" s="1">
        <v>2008</v>
      </c>
      <c r="I787" t="s">
        <v>55</v>
      </c>
      <c r="J787" s="1">
        <v>144</v>
      </c>
      <c r="K787" s="1" t="s">
        <v>28</v>
      </c>
      <c r="L787" s="1" t="s">
        <v>69</v>
      </c>
      <c r="M787" s="1">
        <v>9.4</v>
      </c>
      <c r="N787" s="1">
        <v>100.13</v>
      </c>
      <c r="O787" s="1">
        <v>13698000</v>
      </c>
      <c r="P787" t="s">
        <v>2281</v>
      </c>
    </row>
    <row r="788" spans="1:16" x14ac:dyDescent="0.3">
      <c r="A788" s="1" t="s">
        <v>1810</v>
      </c>
      <c r="B788" s="1" t="s">
        <v>14</v>
      </c>
      <c r="C788" s="1" t="s">
        <v>1811</v>
      </c>
      <c r="D788" s="1" t="s">
        <v>49</v>
      </c>
      <c r="E788" s="1" t="s">
        <v>153</v>
      </c>
      <c r="F788" s="1" t="s">
        <v>59</v>
      </c>
      <c r="G788" s="6">
        <v>42999</v>
      </c>
      <c r="H788" s="1">
        <v>2001</v>
      </c>
      <c r="I788" t="s">
        <v>34</v>
      </c>
      <c r="J788" s="1">
        <v>2</v>
      </c>
      <c r="K788" s="1" t="s">
        <v>20</v>
      </c>
      <c r="L788" s="1" t="s">
        <v>46</v>
      </c>
      <c r="M788" s="1">
        <v>1.3</v>
      </c>
      <c r="N788" s="1">
        <v>51.81</v>
      </c>
      <c r="O788" s="1">
        <v>77858000</v>
      </c>
      <c r="P788" t="s">
        <v>2281</v>
      </c>
    </row>
    <row r="789" spans="1:16" hidden="1" x14ac:dyDescent="0.3">
      <c r="A789" s="1" t="s">
        <v>1812</v>
      </c>
      <c r="B789" s="1" t="s">
        <v>37</v>
      </c>
      <c r="C789" s="1" t="s">
        <v>1813</v>
      </c>
      <c r="D789" s="1" t="s">
        <v>72</v>
      </c>
      <c r="E789" s="1" t="s">
        <v>72</v>
      </c>
      <c r="F789" s="1" t="s">
        <v>33</v>
      </c>
      <c r="G789" s="6">
        <v>44275</v>
      </c>
      <c r="H789" s="1">
        <v>2012</v>
      </c>
      <c r="I789" t="s">
        <v>19</v>
      </c>
      <c r="J789" s="1">
        <v>111</v>
      </c>
      <c r="K789" s="1" t="s">
        <v>28</v>
      </c>
      <c r="L789" s="1" t="s">
        <v>21</v>
      </c>
      <c r="M789" s="1">
        <v>1</v>
      </c>
      <c r="N789" s="1">
        <v>55.22</v>
      </c>
      <c r="O789" s="1">
        <v>90564000</v>
      </c>
      <c r="P789" t="s">
        <v>2282</v>
      </c>
    </row>
    <row r="790" spans="1:16" hidden="1" x14ac:dyDescent="0.3">
      <c r="A790" s="1" t="s">
        <v>1814</v>
      </c>
      <c r="B790" s="1" t="s">
        <v>37</v>
      </c>
      <c r="C790" s="1" t="s">
        <v>1815</v>
      </c>
      <c r="D790" s="1" t="s">
        <v>39</v>
      </c>
      <c r="E790" s="1" t="s">
        <v>347</v>
      </c>
      <c r="F790" s="1" t="s">
        <v>33</v>
      </c>
      <c r="G790" s="6">
        <v>43105</v>
      </c>
      <c r="H790" s="1">
        <v>2004</v>
      </c>
      <c r="I790" t="s">
        <v>77</v>
      </c>
      <c r="J790" s="1">
        <v>109</v>
      </c>
      <c r="K790" s="1" t="s">
        <v>28</v>
      </c>
      <c r="L790" s="1" t="s">
        <v>21</v>
      </c>
      <c r="M790" s="1">
        <v>8.5</v>
      </c>
      <c r="N790" s="1">
        <v>21.22</v>
      </c>
      <c r="O790" s="1">
        <v>53690000</v>
      </c>
      <c r="P790" t="s">
        <v>2282</v>
      </c>
    </row>
    <row r="791" spans="1:16" x14ac:dyDescent="0.3">
      <c r="A791" s="1" t="s">
        <v>1816</v>
      </c>
      <c r="B791" s="1" t="s">
        <v>14</v>
      </c>
      <c r="C791" s="1" t="s">
        <v>1817</v>
      </c>
      <c r="D791" s="1" t="s">
        <v>39</v>
      </c>
      <c r="E791" s="1" t="s">
        <v>784</v>
      </c>
      <c r="F791" s="1" t="s">
        <v>33</v>
      </c>
      <c r="G791" s="6">
        <v>44556</v>
      </c>
      <c r="H791" s="1">
        <v>2016</v>
      </c>
      <c r="I791" t="s">
        <v>55</v>
      </c>
      <c r="J791" s="1">
        <v>6</v>
      </c>
      <c r="K791" s="1" t="s">
        <v>20</v>
      </c>
      <c r="L791" s="1" t="s">
        <v>69</v>
      </c>
      <c r="M791" s="1">
        <v>3.5</v>
      </c>
      <c r="N791" s="1">
        <v>139.53</v>
      </c>
      <c r="O791" s="1">
        <v>83311000</v>
      </c>
      <c r="P791" t="s">
        <v>2281</v>
      </c>
    </row>
    <row r="792" spans="1:16" hidden="1" x14ac:dyDescent="0.3">
      <c r="A792" s="1" t="s">
        <v>1818</v>
      </c>
      <c r="B792" s="1" t="s">
        <v>37</v>
      </c>
      <c r="C792" s="1" t="s">
        <v>1819</v>
      </c>
      <c r="D792" s="1" t="s">
        <v>24</v>
      </c>
      <c r="E792" s="1" t="s">
        <v>1820</v>
      </c>
      <c r="F792" s="1" t="s">
        <v>76</v>
      </c>
      <c r="G792" s="6">
        <v>43519</v>
      </c>
      <c r="H792" s="1">
        <v>2019</v>
      </c>
      <c r="I792" t="s">
        <v>34</v>
      </c>
      <c r="J792" s="1">
        <v>123</v>
      </c>
      <c r="K792" s="1" t="s">
        <v>28</v>
      </c>
      <c r="L792" s="1" t="s">
        <v>52</v>
      </c>
      <c r="M792" s="1">
        <v>3.3</v>
      </c>
      <c r="N792" s="1">
        <v>69.62</v>
      </c>
      <c r="O792" s="1">
        <v>62191000</v>
      </c>
      <c r="P792" t="s">
        <v>2281</v>
      </c>
    </row>
    <row r="793" spans="1:16" hidden="1" x14ac:dyDescent="0.3">
      <c r="A793" s="1" t="s">
        <v>1821</v>
      </c>
      <c r="B793" s="1" t="s">
        <v>37</v>
      </c>
      <c r="C793" s="1" t="s">
        <v>1822</v>
      </c>
      <c r="D793" s="1" t="s">
        <v>16</v>
      </c>
      <c r="E793" s="1" t="s">
        <v>92</v>
      </c>
      <c r="F793" s="1" t="s">
        <v>45</v>
      </c>
      <c r="G793" s="6">
        <v>42006</v>
      </c>
      <c r="H793" s="1">
        <v>2017</v>
      </c>
      <c r="I793" t="s">
        <v>27</v>
      </c>
      <c r="J793" s="1">
        <v>85</v>
      </c>
      <c r="K793" s="1" t="s">
        <v>28</v>
      </c>
      <c r="L793" s="1" t="s">
        <v>41</v>
      </c>
      <c r="M793" s="1">
        <v>1.7</v>
      </c>
      <c r="N793" s="1">
        <v>31.1</v>
      </c>
      <c r="O793" s="1">
        <v>86743000</v>
      </c>
      <c r="P793" t="s">
        <v>2281</v>
      </c>
    </row>
    <row r="794" spans="1:16" x14ac:dyDescent="0.3">
      <c r="A794" s="1" t="s">
        <v>1823</v>
      </c>
      <c r="B794" s="1" t="s">
        <v>14</v>
      </c>
      <c r="C794" s="1" t="s">
        <v>1824</v>
      </c>
      <c r="D794" s="1" t="s">
        <v>49</v>
      </c>
      <c r="E794" s="1" t="s">
        <v>509</v>
      </c>
      <c r="F794" s="1" t="s">
        <v>59</v>
      </c>
      <c r="G794" s="6">
        <v>44922</v>
      </c>
      <c r="H794" s="1">
        <v>1992</v>
      </c>
      <c r="I794" t="s">
        <v>77</v>
      </c>
      <c r="J794" s="1">
        <v>9</v>
      </c>
      <c r="K794" s="1" t="s">
        <v>20</v>
      </c>
      <c r="L794" s="1" t="s">
        <v>52</v>
      </c>
      <c r="M794" s="1">
        <v>6.7</v>
      </c>
      <c r="N794" s="1">
        <v>56.8</v>
      </c>
      <c r="O794" s="1">
        <v>99993000</v>
      </c>
      <c r="P794" t="s">
        <v>2282</v>
      </c>
    </row>
    <row r="795" spans="1:16" hidden="1" x14ac:dyDescent="0.3">
      <c r="A795" s="1" t="s">
        <v>1825</v>
      </c>
      <c r="B795" s="1" t="s">
        <v>37</v>
      </c>
      <c r="C795" s="1" t="s">
        <v>1826</v>
      </c>
      <c r="D795" s="1" t="s">
        <v>16</v>
      </c>
      <c r="E795" s="1" t="s">
        <v>290</v>
      </c>
      <c r="F795" s="1" t="s">
        <v>45</v>
      </c>
      <c r="G795" s="6">
        <v>43442</v>
      </c>
      <c r="H795" s="1">
        <v>1998</v>
      </c>
      <c r="I795" t="s">
        <v>89</v>
      </c>
      <c r="J795" s="1">
        <v>170</v>
      </c>
      <c r="K795" s="1" t="s">
        <v>28</v>
      </c>
      <c r="L795" s="1" t="s">
        <v>35</v>
      </c>
      <c r="M795" s="1">
        <v>5.9</v>
      </c>
      <c r="N795" s="1">
        <v>62.86</v>
      </c>
      <c r="O795" s="1">
        <v>73968000</v>
      </c>
      <c r="P795" t="s">
        <v>2282</v>
      </c>
    </row>
    <row r="796" spans="1:16" hidden="1" x14ac:dyDescent="0.3">
      <c r="A796" s="1" t="s">
        <v>1827</v>
      </c>
      <c r="B796" s="1" t="s">
        <v>37</v>
      </c>
      <c r="C796" s="1" t="s">
        <v>1828</v>
      </c>
      <c r="D796" s="1" t="s">
        <v>72</v>
      </c>
      <c r="E796" s="1" t="s">
        <v>862</v>
      </c>
      <c r="F796" s="1" t="s">
        <v>33</v>
      </c>
      <c r="G796" s="6">
        <v>45049</v>
      </c>
      <c r="H796" s="1">
        <v>2010</v>
      </c>
      <c r="I796" t="s">
        <v>55</v>
      </c>
      <c r="J796" s="1">
        <v>122</v>
      </c>
      <c r="K796" s="1" t="s">
        <v>28</v>
      </c>
      <c r="L796" s="1" t="s">
        <v>35</v>
      </c>
      <c r="M796" s="1">
        <v>3.5</v>
      </c>
      <c r="N796" s="1">
        <v>139.93</v>
      </c>
      <c r="O796" s="1">
        <v>66311000</v>
      </c>
      <c r="P796" t="s">
        <v>2281</v>
      </c>
    </row>
    <row r="797" spans="1:16" hidden="1" x14ac:dyDescent="0.3">
      <c r="A797" s="1" t="s">
        <v>1829</v>
      </c>
      <c r="B797" s="1" t="s">
        <v>37</v>
      </c>
      <c r="C797" s="1" t="s">
        <v>1830</v>
      </c>
      <c r="D797" s="1" t="s">
        <v>31</v>
      </c>
      <c r="E797" s="1" t="s">
        <v>207</v>
      </c>
      <c r="F797" s="1" t="s">
        <v>26</v>
      </c>
      <c r="G797" s="6">
        <v>44616</v>
      </c>
      <c r="H797" s="1">
        <v>2009</v>
      </c>
      <c r="I797" t="s">
        <v>34</v>
      </c>
      <c r="J797" s="1">
        <v>112</v>
      </c>
      <c r="K797" s="1" t="s">
        <v>28</v>
      </c>
      <c r="L797" s="1" t="s">
        <v>21</v>
      </c>
      <c r="M797" s="1">
        <v>3.4</v>
      </c>
      <c r="N797" s="1">
        <v>125.89</v>
      </c>
      <c r="O797" s="1">
        <v>38144000</v>
      </c>
      <c r="P797" t="s">
        <v>2282</v>
      </c>
    </row>
    <row r="798" spans="1:16" hidden="1" x14ac:dyDescent="0.3">
      <c r="A798" s="1" t="s">
        <v>1831</v>
      </c>
      <c r="B798" s="1" t="s">
        <v>37</v>
      </c>
      <c r="C798" s="1" t="s">
        <v>1832</v>
      </c>
      <c r="D798" s="1" t="s">
        <v>39</v>
      </c>
      <c r="E798" s="1" t="s">
        <v>1558</v>
      </c>
      <c r="F798" s="1" t="s">
        <v>51</v>
      </c>
      <c r="G798" s="6">
        <v>45234</v>
      </c>
      <c r="H798" s="1">
        <v>2023</v>
      </c>
      <c r="I798" t="s">
        <v>34</v>
      </c>
      <c r="J798" s="1">
        <v>164</v>
      </c>
      <c r="K798" s="1" t="s">
        <v>28</v>
      </c>
      <c r="L798" s="1" t="s">
        <v>69</v>
      </c>
      <c r="M798" s="1">
        <v>3.4</v>
      </c>
      <c r="N798" s="1">
        <v>45.08</v>
      </c>
      <c r="O798" s="1">
        <v>56407000</v>
      </c>
      <c r="P798" t="s">
        <v>2281</v>
      </c>
    </row>
    <row r="799" spans="1:16" x14ac:dyDescent="0.3">
      <c r="A799" s="1" t="s">
        <v>1833</v>
      </c>
      <c r="B799" s="1" t="s">
        <v>14</v>
      </c>
      <c r="C799" s="1" t="s">
        <v>1834</v>
      </c>
      <c r="D799" s="1" t="s">
        <v>49</v>
      </c>
      <c r="E799" s="1" t="s">
        <v>72</v>
      </c>
      <c r="F799" s="1" t="s">
        <v>26</v>
      </c>
      <c r="G799" s="6">
        <v>44525</v>
      </c>
      <c r="H799" s="1">
        <v>1994</v>
      </c>
      <c r="I799" t="s">
        <v>27</v>
      </c>
      <c r="J799" s="1">
        <v>9</v>
      </c>
      <c r="K799" s="1" t="s">
        <v>20</v>
      </c>
      <c r="L799" s="1" t="s">
        <v>69</v>
      </c>
      <c r="M799" s="1">
        <v>7.7</v>
      </c>
      <c r="N799" s="1">
        <v>7.41</v>
      </c>
      <c r="O799" s="1">
        <v>28537000</v>
      </c>
      <c r="P799" t="s">
        <v>2281</v>
      </c>
    </row>
    <row r="800" spans="1:16" x14ac:dyDescent="0.3">
      <c r="A800" s="1" t="s">
        <v>1835</v>
      </c>
      <c r="B800" s="1" t="s">
        <v>14</v>
      </c>
      <c r="C800" s="1" t="s">
        <v>1836</v>
      </c>
      <c r="D800" s="1" t="s">
        <v>72</v>
      </c>
      <c r="E800" s="1" t="s">
        <v>50</v>
      </c>
      <c r="F800" s="1" t="s">
        <v>76</v>
      </c>
      <c r="G800" s="6">
        <v>42749</v>
      </c>
      <c r="H800" s="1">
        <v>2012</v>
      </c>
      <c r="I800" t="s">
        <v>34</v>
      </c>
      <c r="J800" s="1">
        <v>4</v>
      </c>
      <c r="K800" s="1" t="s">
        <v>20</v>
      </c>
      <c r="L800" s="1" t="s">
        <v>21</v>
      </c>
      <c r="M800" s="1">
        <v>2.9</v>
      </c>
      <c r="N800" s="1">
        <v>140.38</v>
      </c>
      <c r="O800" s="1">
        <v>4580000</v>
      </c>
      <c r="P800" t="s">
        <v>2281</v>
      </c>
    </row>
    <row r="801" spans="1:16" x14ac:dyDescent="0.3">
      <c r="A801" s="1" t="s">
        <v>1837</v>
      </c>
      <c r="B801" s="1" t="s">
        <v>14</v>
      </c>
      <c r="C801" s="1" t="s">
        <v>1838</v>
      </c>
      <c r="D801" s="1" t="s">
        <v>24</v>
      </c>
      <c r="E801" s="1" t="s">
        <v>75</v>
      </c>
      <c r="F801" s="1" t="s">
        <v>59</v>
      </c>
      <c r="G801" s="6">
        <v>45119</v>
      </c>
      <c r="H801" s="1">
        <v>2001</v>
      </c>
      <c r="I801" t="s">
        <v>19</v>
      </c>
      <c r="J801" s="1">
        <v>3</v>
      </c>
      <c r="K801" s="1" t="s">
        <v>20</v>
      </c>
      <c r="L801" s="1" t="s">
        <v>21</v>
      </c>
      <c r="M801" s="1">
        <v>8.1</v>
      </c>
      <c r="N801" s="1">
        <v>81.52</v>
      </c>
      <c r="O801" s="1">
        <v>56632000</v>
      </c>
      <c r="P801" t="s">
        <v>2281</v>
      </c>
    </row>
    <row r="802" spans="1:16" hidden="1" x14ac:dyDescent="0.3">
      <c r="A802" s="1" t="s">
        <v>1839</v>
      </c>
      <c r="B802" s="1" t="s">
        <v>37</v>
      </c>
      <c r="C802" s="1" t="s">
        <v>1840</v>
      </c>
      <c r="D802" s="1" t="s">
        <v>62</v>
      </c>
      <c r="E802" s="1" t="s">
        <v>58</v>
      </c>
      <c r="F802" s="1" t="s">
        <v>158</v>
      </c>
      <c r="G802" s="6">
        <v>44339</v>
      </c>
      <c r="H802" s="1">
        <v>2019</v>
      </c>
      <c r="I802" t="s">
        <v>27</v>
      </c>
      <c r="J802" s="1">
        <v>116</v>
      </c>
      <c r="K802" s="1" t="s">
        <v>28</v>
      </c>
      <c r="L802" s="1" t="s">
        <v>46</v>
      </c>
      <c r="M802" s="1">
        <v>1.7</v>
      </c>
      <c r="N802" s="1">
        <v>139.46</v>
      </c>
      <c r="O802" s="1">
        <v>96402000</v>
      </c>
      <c r="P802" t="s">
        <v>2282</v>
      </c>
    </row>
    <row r="803" spans="1:16" x14ac:dyDescent="0.3">
      <c r="A803" s="1" t="s">
        <v>1841</v>
      </c>
      <c r="B803" s="1" t="s">
        <v>14</v>
      </c>
      <c r="C803" s="1" t="s">
        <v>1842</v>
      </c>
      <c r="D803" s="1" t="s">
        <v>16</v>
      </c>
      <c r="E803" s="1" t="s">
        <v>72</v>
      </c>
      <c r="F803" s="1" t="s">
        <v>26</v>
      </c>
      <c r="G803" s="6">
        <v>44068</v>
      </c>
      <c r="H803" s="1">
        <v>1991</v>
      </c>
      <c r="I803" t="s">
        <v>19</v>
      </c>
      <c r="J803" s="1">
        <v>6</v>
      </c>
      <c r="K803" s="1" t="s">
        <v>20</v>
      </c>
      <c r="L803" s="1" t="s">
        <v>21</v>
      </c>
      <c r="M803" s="1">
        <v>1.5</v>
      </c>
      <c r="N803" s="1">
        <v>132.49</v>
      </c>
      <c r="O803" s="1">
        <v>53540000</v>
      </c>
      <c r="P803" t="s">
        <v>2282</v>
      </c>
    </row>
    <row r="804" spans="1:16" hidden="1" x14ac:dyDescent="0.3">
      <c r="A804" s="1" t="s">
        <v>1843</v>
      </c>
      <c r="B804" s="1" t="s">
        <v>37</v>
      </c>
      <c r="C804" s="1" t="s">
        <v>1844</v>
      </c>
      <c r="D804" s="1" t="s">
        <v>31</v>
      </c>
      <c r="E804" s="1" t="s">
        <v>344</v>
      </c>
      <c r="F804" s="1" t="s">
        <v>158</v>
      </c>
      <c r="G804" s="6">
        <v>43774</v>
      </c>
      <c r="H804" s="1">
        <v>2019</v>
      </c>
      <c r="I804" t="s">
        <v>55</v>
      </c>
      <c r="J804" s="1">
        <v>80</v>
      </c>
      <c r="K804" s="1" t="s">
        <v>28</v>
      </c>
      <c r="L804" s="1" t="s">
        <v>35</v>
      </c>
      <c r="M804" s="1">
        <v>7</v>
      </c>
      <c r="N804" s="1">
        <v>108.23</v>
      </c>
      <c r="O804" s="1">
        <v>31820000</v>
      </c>
      <c r="P804" t="s">
        <v>2281</v>
      </c>
    </row>
    <row r="805" spans="1:16" hidden="1" x14ac:dyDescent="0.3">
      <c r="A805" s="1" t="s">
        <v>1845</v>
      </c>
      <c r="B805" s="1" t="s">
        <v>37</v>
      </c>
      <c r="C805" s="1" t="s">
        <v>1846</v>
      </c>
      <c r="D805" s="1" t="s">
        <v>16</v>
      </c>
      <c r="E805" s="1" t="s">
        <v>117</v>
      </c>
      <c r="F805" s="1" t="s">
        <v>26</v>
      </c>
      <c r="G805" s="6">
        <v>42827</v>
      </c>
      <c r="H805" s="1">
        <v>2018</v>
      </c>
      <c r="I805" t="s">
        <v>19</v>
      </c>
      <c r="J805" s="1">
        <v>136</v>
      </c>
      <c r="K805" s="1" t="s">
        <v>28</v>
      </c>
      <c r="L805" s="1" t="s">
        <v>21</v>
      </c>
      <c r="M805" s="1">
        <v>2.8</v>
      </c>
      <c r="N805" s="1">
        <v>62.61</v>
      </c>
      <c r="O805" s="1">
        <v>17685000</v>
      </c>
      <c r="P805" t="s">
        <v>2282</v>
      </c>
    </row>
    <row r="806" spans="1:16" x14ac:dyDescent="0.3">
      <c r="A806" s="1" t="s">
        <v>1847</v>
      </c>
      <c r="B806" s="1" t="s">
        <v>14</v>
      </c>
      <c r="C806" s="1" t="s">
        <v>1848</v>
      </c>
      <c r="D806" s="1" t="s">
        <v>16</v>
      </c>
      <c r="E806" s="1" t="s">
        <v>1849</v>
      </c>
      <c r="F806" s="1" t="s">
        <v>158</v>
      </c>
      <c r="G806" s="6">
        <v>44886</v>
      </c>
      <c r="H806" s="1">
        <v>2022</v>
      </c>
      <c r="I806" t="s">
        <v>34</v>
      </c>
      <c r="J806" s="1">
        <v>5</v>
      </c>
      <c r="K806" s="1" t="s">
        <v>20</v>
      </c>
      <c r="L806" s="1" t="s">
        <v>46</v>
      </c>
      <c r="M806" s="1">
        <v>5.6</v>
      </c>
      <c r="N806" s="1">
        <v>134.12</v>
      </c>
      <c r="O806" s="1">
        <v>49840000</v>
      </c>
      <c r="P806" t="s">
        <v>2282</v>
      </c>
    </row>
    <row r="807" spans="1:16" hidden="1" x14ac:dyDescent="0.3">
      <c r="A807" s="1" t="s">
        <v>1850</v>
      </c>
      <c r="B807" s="1" t="s">
        <v>37</v>
      </c>
      <c r="C807" s="1" t="s">
        <v>1851</v>
      </c>
      <c r="D807" s="1" t="s">
        <v>72</v>
      </c>
      <c r="E807" s="1" t="s">
        <v>72</v>
      </c>
      <c r="F807" s="1" t="s">
        <v>45</v>
      </c>
      <c r="G807" s="6">
        <v>44681</v>
      </c>
      <c r="H807" s="1">
        <v>1992</v>
      </c>
      <c r="I807" t="s">
        <v>77</v>
      </c>
      <c r="J807" s="1">
        <v>114</v>
      </c>
      <c r="K807" s="1" t="s">
        <v>28</v>
      </c>
      <c r="L807" s="1" t="s">
        <v>21</v>
      </c>
      <c r="M807" s="1">
        <v>2.2999999999999998</v>
      </c>
      <c r="N807" s="1">
        <v>18.57</v>
      </c>
      <c r="O807" s="1">
        <v>98195000</v>
      </c>
      <c r="P807" t="s">
        <v>2282</v>
      </c>
    </row>
    <row r="808" spans="1:16" hidden="1" x14ac:dyDescent="0.3">
      <c r="A808" s="1" t="s">
        <v>1852</v>
      </c>
      <c r="B808" s="1" t="s">
        <v>37</v>
      </c>
      <c r="C808" s="1" t="s">
        <v>1853</v>
      </c>
      <c r="D808" s="1" t="s">
        <v>72</v>
      </c>
      <c r="E808" s="1" t="s">
        <v>123</v>
      </c>
      <c r="F808" s="1" t="s">
        <v>18</v>
      </c>
      <c r="G808" s="6">
        <v>42832</v>
      </c>
      <c r="H808" s="1">
        <v>2013</v>
      </c>
      <c r="I808" t="s">
        <v>55</v>
      </c>
      <c r="J808" s="1">
        <v>123</v>
      </c>
      <c r="K808" s="1" t="s">
        <v>28</v>
      </c>
      <c r="L808" s="1" t="s">
        <v>21</v>
      </c>
      <c r="M808" s="1">
        <v>7.6</v>
      </c>
      <c r="N808" s="1">
        <v>72.099999999999994</v>
      </c>
      <c r="O808" s="1">
        <v>71407000</v>
      </c>
      <c r="P808" t="s">
        <v>2281</v>
      </c>
    </row>
    <row r="809" spans="1:16" hidden="1" x14ac:dyDescent="0.3">
      <c r="A809" s="1" t="s">
        <v>1854</v>
      </c>
      <c r="B809" s="1" t="s">
        <v>37</v>
      </c>
      <c r="C809" s="1" t="s">
        <v>1855</v>
      </c>
      <c r="D809" s="1" t="s">
        <v>24</v>
      </c>
      <c r="E809" s="1" t="s">
        <v>1856</v>
      </c>
      <c r="F809" s="1" t="s">
        <v>51</v>
      </c>
      <c r="G809" s="6">
        <v>42030</v>
      </c>
      <c r="H809" s="1">
        <v>2004</v>
      </c>
      <c r="I809" t="s">
        <v>27</v>
      </c>
      <c r="J809" s="1">
        <v>157</v>
      </c>
      <c r="K809" s="1" t="s">
        <v>28</v>
      </c>
      <c r="L809" s="1" t="s">
        <v>46</v>
      </c>
      <c r="M809" s="1">
        <v>3.6</v>
      </c>
      <c r="N809" s="1">
        <v>49.74</v>
      </c>
      <c r="O809" s="1">
        <v>19797000</v>
      </c>
      <c r="P809" t="s">
        <v>2282</v>
      </c>
    </row>
    <row r="810" spans="1:16" x14ac:dyDescent="0.3">
      <c r="A810" s="1" t="s">
        <v>1857</v>
      </c>
      <c r="B810" s="1" t="s">
        <v>14</v>
      </c>
      <c r="C810" s="1" t="s">
        <v>1858</v>
      </c>
      <c r="D810" s="1" t="s">
        <v>39</v>
      </c>
      <c r="E810" s="1" t="s">
        <v>722</v>
      </c>
      <c r="F810" s="1" t="s">
        <v>76</v>
      </c>
      <c r="G810" s="6">
        <v>44476</v>
      </c>
      <c r="H810" s="1">
        <v>2004</v>
      </c>
      <c r="I810" t="s">
        <v>55</v>
      </c>
      <c r="J810" s="1">
        <v>1</v>
      </c>
      <c r="K810" s="1" t="s">
        <v>20</v>
      </c>
      <c r="L810" s="1" t="s">
        <v>52</v>
      </c>
      <c r="M810" s="1">
        <v>5.4</v>
      </c>
      <c r="N810" s="1">
        <v>109.54</v>
      </c>
      <c r="O810" s="1">
        <v>69531000</v>
      </c>
      <c r="P810" t="s">
        <v>2282</v>
      </c>
    </row>
    <row r="811" spans="1:16" hidden="1" x14ac:dyDescent="0.3">
      <c r="A811" s="1" t="s">
        <v>1859</v>
      </c>
      <c r="B811" s="1" t="s">
        <v>37</v>
      </c>
      <c r="C811" s="1" t="s">
        <v>1860</v>
      </c>
      <c r="D811" s="1" t="s">
        <v>39</v>
      </c>
      <c r="E811" s="1" t="s">
        <v>1861</v>
      </c>
      <c r="F811" s="1" t="s">
        <v>45</v>
      </c>
      <c r="G811" s="6">
        <v>43269</v>
      </c>
      <c r="H811" s="1">
        <v>2005</v>
      </c>
      <c r="I811" t="s">
        <v>55</v>
      </c>
      <c r="J811" s="1">
        <v>71</v>
      </c>
      <c r="K811" s="1" t="s">
        <v>28</v>
      </c>
      <c r="L811" s="1" t="s">
        <v>46</v>
      </c>
      <c r="M811" s="1">
        <v>3.1</v>
      </c>
      <c r="N811" s="1">
        <v>133.81</v>
      </c>
      <c r="O811" s="1">
        <v>13900000</v>
      </c>
      <c r="P811" t="s">
        <v>2281</v>
      </c>
    </row>
    <row r="812" spans="1:16" x14ac:dyDescent="0.3">
      <c r="A812" s="1" t="s">
        <v>1862</v>
      </c>
      <c r="B812" s="1" t="s">
        <v>14</v>
      </c>
      <c r="C812" s="1" t="s">
        <v>1863</v>
      </c>
      <c r="D812" s="1" t="s">
        <v>24</v>
      </c>
      <c r="E812" s="1" t="s">
        <v>722</v>
      </c>
      <c r="F812" s="1" t="s">
        <v>51</v>
      </c>
      <c r="G812" s="6">
        <v>44453</v>
      </c>
      <c r="H812" s="1">
        <v>2009</v>
      </c>
      <c r="I812" t="s">
        <v>19</v>
      </c>
      <c r="J812" s="1">
        <v>7</v>
      </c>
      <c r="K812" s="1" t="s">
        <v>20</v>
      </c>
      <c r="L812" s="1" t="s">
        <v>69</v>
      </c>
      <c r="M812" s="1">
        <v>5.2</v>
      </c>
      <c r="N812" s="1">
        <v>1.41</v>
      </c>
      <c r="O812" s="1">
        <v>19286000</v>
      </c>
      <c r="P812" t="s">
        <v>2282</v>
      </c>
    </row>
    <row r="813" spans="1:16" x14ac:dyDescent="0.3">
      <c r="A813" s="1" t="s">
        <v>1864</v>
      </c>
      <c r="B813" s="1" t="s">
        <v>14</v>
      </c>
      <c r="C813" s="1" t="s">
        <v>1865</v>
      </c>
      <c r="D813" s="1" t="s">
        <v>39</v>
      </c>
      <c r="E813" s="1" t="s">
        <v>17</v>
      </c>
      <c r="F813" s="1" t="s">
        <v>158</v>
      </c>
      <c r="G813" s="6">
        <v>42355</v>
      </c>
      <c r="H813" s="1">
        <v>2008</v>
      </c>
      <c r="I813" t="s">
        <v>77</v>
      </c>
      <c r="J813" s="1">
        <v>10</v>
      </c>
      <c r="K813" s="1" t="s">
        <v>20</v>
      </c>
      <c r="L813" s="1" t="s">
        <v>21</v>
      </c>
      <c r="M813" s="1">
        <v>9.3000000000000007</v>
      </c>
      <c r="N813" s="1">
        <v>113.72</v>
      </c>
      <c r="O813" s="1">
        <v>39296000</v>
      </c>
      <c r="P813" t="s">
        <v>2282</v>
      </c>
    </row>
    <row r="814" spans="1:16" x14ac:dyDescent="0.3">
      <c r="A814" s="1" t="s">
        <v>1866</v>
      </c>
      <c r="B814" s="1" t="s">
        <v>14</v>
      </c>
      <c r="C814" s="1" t="s">
        <v>1867</v>
      </c>
      <c r="D814" s="1" t="s">
        <v>16</v>
      </c>
      <c r="E814" s="1" t="s">
        <v>123</v>
      </c>
      <c r="F814" s="1" t="s">
        <v>76</v>
      </c>
      <c r="G814" s="6">
        <v>43942</v>
      </c>
      <c r="H814" s="1">
        <v>2003</v>
      </c>
      <c r="I814" t="s">
        <v>34</v>
      </c>
      <c r="J814" s="1">
        <v>1</v>
      </c>
      <c r="K814" s="1" t="s">
        <v>20</v>
      </c>
      <c r="L814" s="1" t="s">
        <v>41</v>
      </c>
      <c r="M814" s="1">
        <v>8.1999999999999993</v>
      </c>
      <c r="N814" s="1">
        <v>77.12</v>
      </c>
      <c r="O814" s="1">
        <v>64610000</v>
      </c>
      <c r="P814" t="s">
        <v>2281</v>
      </c>
    </row>
    <row r="815" spans="1:16" x14ac:dyDescent="0.3">
      <c r="A815" s="1" t="s">
        <v>1868</v>
      </c>
      <c r="B815" s="1" t="s">
        <v>14</v>
      </c>
      <c r="C815" s="1" t="s">
        <v>1869</v>
      </c>
      <c r="D815" s="1" t="s">
        <v>72</v>
      </c>
      <c r="E815" s="1" t="s">
        <v>255</v>
      </c>
      <c r="F815" s="1" t="s">
        <v>33</v>
      </c>
      <c r="G815" s="6">
        <v>45203</v>
      </c>
      <c r="H815" s="1">
        <v>2002</v>
      </c>
      <c r="I815" t="s">
        <v>77</v>
      </c>
      <c r="J815" s="1">
        <v>7</v>
      </c>
      <c r="K815" s="1" t="s">
        <v>20</v>
      </c>
      <c r="L815" s="1" t="s">
        <v>41</v>
      </c>
      <c r="M815" s="1">
        <v>4.9000000000000004</v>
      </c>
      <c r="N815" s="1">
        <v>25.9</v>
      </c>
      <c r="O815" s="1">
        <v>91280000</v>
      </c>
      <c r="P815" t="s">
        <v>2281</v>
      </c>
    </row>
    <row r="816" spans="1:16" x14ac:dyDescent="0.3">
      <c r="A816" s="1" t="s">
        <v>1870</v>
      </c>
      <c r="B816" s="1" t="s">
        <v>14</v>
      </c>
      <c r="C816" s="1" t="s">
        <v>1871</v>
      </c>
      <c r="D816" s="1" t="s">
        <v>72</v>
      </c>
      <c r="E816" s="1" t="s">
        <v>201</v>
      </c>
      <c r="F816" s="1" t="s">
        <v>18</v>
      </c>
      <c r="G816" s="6">
        <v>42764</v>
      </c>
      <c r="H816" s="1">
        <v>2009</v>
      </c>
      <c r="I816" t="s">
        <v>77</v>
      </c>
      <c r="J816" s="1">
        <v>7</v>
      </c>
      <c r="K816" s="1" t="s">
        <v>20</v>
      </c>
      <c r="L816" s="1" t="s">
        <v>52</v>
      </c>
      <c r="M816" s="1">
        <v>5.2</v>
      </c>
      <c r="N816" s="1">
        <v>54.92</v>
      </c>
      <c r="O816" s="1">
        <v>55719000</v>
      </c>
      <c r="P816" t="s">
        <v>2281</v>
      </c>
    </row>
    <row r="817" spans="1:16" hidden="1" x14ac:dyDescent="0.3">
      <c r="A817" s="1" t="s">
        <v>1872</v>
      </c>
      <c r="B817" s="1" t="s">
        <v>37</v>
      </c>
      <c r="C817" s="1" t="s">
        <v>1873</v>
      </c>
      <c r="D817" s="1" t="s">
        <v>62</v>
      </c>
      <c r="E817" s="1" t="s">
        <v>1123</v>
      </c>
      <c r="F817" s="1" t="s">
        <v>18</v>
      </c>
      <c r="G817" s="6">
        <v>43217</v>
      </c>
      <c r="H817" s="1">
        <v>2014</v>
      </c>
      <c r="I817" t="s">
        <v>55</v>
      </c>
      <c r="J817" s="1">
        <v>129</v>
      </c>
      <c r="K817" s="1" t="s">
        <v>28</v>
      </c>
      <c r="L817" s="1" t="s">
        <v>69</v>
      </c>
      <c r="M817" s="1">
        <v>7.9</v>
      </c>
      <c r="N817" s="1">
        <v>116.35</v>
      </c>
      <c r="O817" s="1">
        <v>44722000</v>
      </c>
      <c r="P817" t="s">
        <v>2282</v>
      </c>
    </row>
    <row r="818" spans="1:16" x14ac:dyDescent="0.3">
      <c r="A818" s="1" t="s">
        <v>1874</v>
      </c>
      <c r="B818" s="1" t="s">
        <v>14</v>
      </c>
      <c r="C818" s="1" t="s">
        <v>1875</v>
      </c>
      <c r="D818" s="1" t="s">
        <v>62</v>
      </c>
      <c r="E818" s="1" t="s">
        <v>50</v>
      </c>
      <c r="F818" s="1" t="s">
        <v>59</v>
      </c>
      <c r="G818" s="6">
        <v>44968</v>
      </c>
      <c r="H818" s="1">
        <v>2018</v>
      </c>
      <c r="I818" t="s">
        <v>77</v>
      </c>
      <c r="J818" s="1">
        <v>2</v>
      </c>
      <c r="K818" s="1" t="s">
        <v>20</v>
      </c>
      <c r="L818" s="1" t="s">
        <v>46</v>
      </c>
      <c r="M818" s="1">
        <v>5.7</v>
      </c>
      <c r="N818" s="1">
        <v>144.34</v>
      </c>
      <c r="O818" s="1">
        <v>76172000</v>
      </c>
      <c r="P818" t="s">
        <v>2281</v>
      </c>
    </row>
    <row r="819" spans="1:16" x14ac:dyDescent="0.3">
      <c r="A819" s="1" t="s">
        <v>1876</v>
      </c>
      <c r="B819" s="1" t="s">
        <v>14</v>
      </c>
      <c r="C819" s="1" t="s">
        <v>1877</v>
      </c>
      <c r="D819" s="1" t="s">
        <v>16</v>
      </c>
      <c r="E819" s="1" t="s">
        <v>80</v>
      </c>
      <c r="F819" s="1" t="s">
        <v>33</v>
      </c>
      <c r="G819" s="6">
        <v>44384</v>
      </c>
      <c r="H819" s="1">
        <v>1992</v>
      </c>
      <c r="I819" t="s">
        <v>55</v>
      </c>
      <c r="J819" s="1">
        <v>8</v>
      </c>
      <c r="K819" s="1" t="s">
        <v>20</v>
      </c>
      <c r="L819" s="1" t="s">
        <v>21</v>
      </c>
      <c r="M819" s="1">
        <v>3.5</v>
      </c>
      <c r="N819" s="1">
        <v>103.33</v>
      </c>
      <c r="O819" s="1">
        <v>59208000</v>
      </c>
      <c r="P819" t="s">
        <v>2281</v>
      </c>
    </row>
    <row r="820" spans="1:16" x14ac:dyDescent="0.3">
      <c r="A820" s="1" t="s">
        <v>1878</v>
      </c>
      <c r="B820" s="1" t="s">
        <v>14</v>
      </c>
      <c r="C820" s="1" t="s">
        <v>1879</v>
      </c>
      <c r="D820" s="1" t="s">
        <v>16</v>
      </c>
      <c r="E820" s="1" t="s">
        <v>138</v>
      </c>
      <c r="F820" s="1" t="s">
        <v>158</v>
      </c>
      <c r="G820" s="6">
        <v>43436</v>
      </c>
      <c r="H820" s="1">
        <v>2016</v>
      </c>
      <c r="I820" t="s">
        <v>55</v>
      </c>
      <c r="J820" s="1">
        <v>1</v>
      </c>
      <c r="K820" s="1" t="s">
        <v>20</v>
      </c>
      <c r="L820" s="1" t="s">
        <v>35</v>
      </c>
      <c r="M820" s="1">
        <v>4</v>
      </c>
      <c r="N820" s="1">
        <v>130.38</v>
      </c>
      <c r="O820" s="1">
        <v>49445000</v>
      </c>
      <c r="P820" t="s">
        <v>2282</v>
      </c>
    </row>
    <row r="821" spans="1:16" hidden="1" x14ac:dyDescent="0.3">
      <c r="A821" s="1" t="s">
        <v>1880</v>
      </c>
      <c r="B821" s="1" t="s">
        <v>37</v>
      </c>
      <c r="C821" s="1" t="s">
        <v>1881</v>
      </c>
      <c r="D821" s="1" t="s">
        <v>31</v>
      </c>
      <c r="E821" s="1" t="s">
        <v>1882</v>
      </c>
      <c r="F821" s="1" t="s">
        <v>59</v>
      </c>
      <c r="G821" s="6">
        <v>42780</v>
      </c>
      <c r="H821" s="1">
        <v>1996</v>
      </c>
      <c r="I821" t="s">
        <v>19</v>
      </c>
      <c r="J821" s="1">
        <v>77</v>
      </c>
      <c r="K821" s="1" t="s">
        <v>28</v>
      </c>
      <c r="L821" s="1" t="s">
        <v>69</v>
      </c>
      <c r="M821" s="1">
        <v>7.7</v>
      </c>
      <c r="N821" s="1">
        <v>76.709999999999994</v>
      </c>
      <c r="O821" s="1">
        <v>84796000</v>
      </c>
      <c r="P821" t="s">
        <v>2282</v>
      </c>
    </row>
    <row r="822" spans="1:16" x14ac:dyDescent="0.3">
      <c r="A822" s="1" t="s">
        <v>1883</v>
      </c>
      <c r="B822" s="1" t="s">
        <v>14</v>
      </c>
      <c r="C822" s="1" t="s">
        <v>1884</v>
      </c>
      <c r="D822" s="1" t="s">
        <v>16</v>
      </c>
      <c r="E822" s="1" t="s">
        <v>414</v>
      </c>
      <c r="F822" s="1" t="s">
        <v>33</v>
      </c>
      <c r="G822" s="6">
        <v>44694</v>
      </c>
      <c r="H822" s="1">
        <v>2009</v>
      </c>
      <c r="I822" t="s">
        <v>77</v>
      </c>
      <c r="J822" s="1">
        <v>3</v>
      </c>
      <c r="K822" s="1" t="s">
        <v>20</v>
      </c>
      <c r="L822" s="1" t="s">
        <v>52</v>
      </c>
      <c r="M822" s="1">
        <v>8.6</v>
      </c>
      <c r="N822" s="1">
        <v>89.33</v>
      </c>
      <c r="O822" s="1">
        <v>75433000</v>
      </c>
      <c r="P822" t="s">
        <v>2282</v>
      </c>
    </row>
    <row r="823" spans="1:16" hidden="1" x14ac:dyDescent="0.3">
      <c r="A823" s="1" t="s">
        <v>1885</v>
      </c>
      <c r="B823" s="1" t="s">
        <v>37</v>
      </c>
      <c r="C823" s="1" t="s">
        <v>1886</v>
      </c>
      <c r="D823" s="1" t="s">
        <v>24</v>
      </c>
      <c r="E823" s="1" t="s">
        <v>63</v>
      </c>
      <c r="F823" s="1" t="s">
        <v>18</v>
      </c>
      <c r="G823" s="6">
        <v>43992</v>
      </c>
      <c r="H823" s="1">
        <v>2016</v>
      </c>
      <c r="I823" t="s">
        <v>89</v>
      </c>
      <c r="J823" s="1">
        <v>108</v>
      </c>
      <c r="K823" s="1" t="s">
        <v>28</v>
      </c>
      <c r="L823" s="1" t="s">
        <v>35</v>
      </c>
      <c r="M823" s="1">
        <v>3.5</v>
      </c>
      <c r="N823" s="1">
        <v>33.51</v>
      </c>
      <c r="O823" s="1">
        <v>82110000</v>
      </c>
      <c r="P823" t="s">
        <v>2282</v>
      </c>
    </row>
    <row r="824" spans="1:16" x14ac:dyDescent="0.3">
      <c r="A824" s="1" t="s">
        <v>1887</v>
      </c>
      <c r="B824" s="1" t="s">
        <v>14</v>
      </c>
      <c r="C824" s="1" t="s">
        <v>1888</v>
      </c>
      <c r="D824" s="1" t="s">
        <v>62</v>
      </c>
      <c r="E824" s="1" t="s">
        <v>267</v>
      </c>
      <c r="F824" s="1" t="s">
        <v>158</v>
      </c>
      <c r="G824" s="6">
        <v>44775</v>
      </c>
      <c r="H824" s="1">
        <v>2021</v>
      </c>
      <c r="I824" t="s">
        <v>55</v>
      </c>
      <c r="J824" s="1">
        <v>7</v>
      </c>
      <c r="K824" s="1" t="s">
        <v>20</v>
      </c>
      <c r="L824" s="1" t="s">
        <v>41</v>
      </c>
      <c r="M824" s="1">
        <v>5.4</v>
      </c>
      <c r="N824" s="1">
        <v>93.31</v>
      </c>
      <c r="O824" s="1">
        <v>28622000</v>
      </c>
      <c r="P824" t="s">
        <v>2281</v>
      </c>
    </row>
    <row r="825" spans="1:16" hidden="1" x14ac:dyDescent="0.3">
      <c r="A825" s="1" t="s">
        <v>1889</v>
      </c>
      <c r="B825" s="1" t="s">
        <v>37</v>
      </c>
      <c r="C825" s="1" t="s">
        <v>1890</v>
      </c>
      <c r="D825" s="1" t="s">
        <v>72</v>
      </c>
      <c r="E825" s="1" t="s">
        <v>50</v>
      </c>
      <c r="F825" s="1" t="s">
        <v>76</v>
      </c>
      <c r="G825" s="6">
        <v>43772</v>
      </c>
      <c r="H825" s="1">
        <v>2006</v>
      </c>
      <c r="I825" t="s">
        <v>89</v>
      </c>
      <c r="J825" s="1">
        <v>106</v>
      </c>
      <c r="K825" s="1" t="s">
        <v>28</v>
      </c>
      <c r="L825" s="1" t="s">
        <v>52</v>
      </c>
      <c r="M825" s="1">
        <v>9.1999999999999993</v>
      </c>
      <c r="N825" s="1">
        <v>94.43</v>
      </c>
      <c r="O825" s="1">
        <v>71498000</v>
      </c>
      <c r="P825" t="s">
        <v>2281</v>
      </c>
    </row>
    <row r="826" spans="1:16" hidden="1" x14ac:dyDescent="0.3">
      <c r="A826" s="1" t="s">
        <v>1891</v>
      </c>
      <c r="B826" s="1" t="s">
        <v>37</v>
      </c>
      <c r="C826" s="1" t="s">
        <v>1892</v>
      </c>
      <c r="D826" s="1" t="s">
        <v>24</v>
      </c>
      <c r="E826" s="1" t="s">
        <v>1893</v>
      </c>
      <c r="F826" s="1" t="s">
        <v>18</v>
      </c>
      <c r="G826" s="6">
        <v>42845</v>
      </c>
      <c r="H826" s="1">
        <v>2011</v>
      </c>
      <c r="I826" t="s">
        <v>27</v>
      </c>
      <c r="J826" s="1">
        <v>165</v>
      </c>
      <c r="K826" s="1" t="s">
        <v>28</v>
      </c>
      <c r="L826" s="1" t="s">
        <v>35</v>
      </c>
      <c r="M826" s="1">
        <v>8.8000000000000007</v>
      </c>
      <c r="N826" s="1">
        <v>28.97</v>
      </c>
      <c r="O826" s="1">
        <v>87395000</v>
      </c>
      <c r="P826" t="s">
        <v>2282</v>
      </c>
    </row>
    <row r="827" spans="1:16" hidden="1" x14ac:dyDescent="0.3">
      <c r="A827" s="1" t="s">
        <v>1894</v>
      </c>
      <c r="B827" s="1" t="s">
        <v>37</v>
      </c>
      <c r="C827" s="1" t="s">
        <v>1895</v>
      </c>
      <c r="D827" s="1" t="s">
        <v>62</v>
      </c>
      <c r="E827" s="1" t="s">
        <v>63</v>
      </c>
      <c r="F827" s="1" t="s">
        <v>18</v>
      </c>
      <c r="G827" s="6">
        <v>44354</v>
      </c>
      <c r="H827" s="1">
        <v>2019</v>
      </c>
      <c r="I827" t="s">
        <v>55</v>
      </c>
      <c r="J827" s="1">
        <v>78</v>
      </c>
      <c r="K827" s="1" t="s">
        <v>28</v>
      </c>
      <c r="L827" s="1" t="s">
        <v>21</v>
      </c>
      <c r="M827" s="1">
        <v>10</v>
      </c>
      <c r="N827" s="1">
        <v>62.2</v>
      </c>
      <c r="O827" s="1">
        <v>33851000</v>
      </c>
      <c r="P827" t="s">
        <v>2282</v>
      </c>
    </row>
    <row r="828" spans="1:16" hidden="1" x14ac:dyDescent="0.3">
      <c r="A828" s="1" t="s">
        <v>1896</v>
      </c>
      <c r="B828" s="1" t="s">
        <v>37</v>
      </c>
      <c r="C828" s="1" t="s">
        <v>1897</v>
      </c>
      <c r="D828" s="1" t="s">
        <v>16</v>
      </c>
      <c r="E828" s="1" t="s">
        <v>75</v>
      </c>
      <c r="F828" s="1" t="s">
        <v>51</v>
      </c>
      <c r="G828" s="6">
        <v>42495</v>
      </c>
      <c r="H828" s="1">
        <v>2014</v>
      </c>
      <c r="I828" t="s">
        <v>19</v>
      </c>
      <c r="J828" s="1">
        <v>61</v>
      </c>
      <c r="K828" s="1" t="s">
        <v>28</v>
      </c>
      <c r="L828" s="1" t="s">
        <v>35</v>
      </c>
      <c r="M828" s="1">
        <v>3.3</v>
      </c>
      <c r="N828" s="1">
        <v>95.51</v>
      </c>
      <c r="O828" s="1">
        <v>43164000</v>
      </c>
      <c r="P828" t="s">
        <v>2282</v>
      </c>
    </row>
    <row r="829" spans="1:16" x14ac:dyDescent="0.3">
      <c r="A829" s="1" t="s">
        <v>1898</v>
      </c>
      <c r="B829" s="1" t="s">
        <v>14</v>
      </c>
      <c r="C829" s="1" t="s">
        <v>1899</v>
      </c>
      <c r="D829" s="1" t="s">
        <v>31</v>
      </c>
      <c r="E829" s="1" t="s">
        <v>1248</v>
      </c>
      <c r="F829" s="1" t="s">
        <v>158</v>
      </c>
      <c r="G829" s="6">
        <v>43229</v>
      </c>
      <c r="H829" s="1">
        <v>2004</v>
      </c>
      <c r="I829" t="s">
        <v>27</v>
      </c>
      <c r="J829" s="1">
        <v>3</v>
      </c>
      <c r="K829" s="1" t="s">
        <v>20</v>
      </c>
      <c r="L829" s="1" t="s">
        <v>41</v>
      </c>
      <c r="M829" s="1">
        <v>2.7</v>
      </c>
      <c r="N829" s="1">
        <v>38.799999999999997</v>
      </c>
      <c r="O829" s="1">
        <v>40472000</v>
      </c>
      <c r="P829" t="s">
        <v>2282</v>
      </c>
    </row>
    <row r="830" spans="1:16" x14ac:dyDescent="0.3">
      <c r="A830" s="1" t="s">
        <v>1900</v>
      </c>
      <c r="B830" s="1" t="s">
        <v>14</v>
      </c>
      <c r="C830" s="1" t="s">
        <v>1901</v>
      </c>
      <c r="D830" s="1" t="s">
        <v>39</v>
      </c>
      <c r="E830" s="1" t="s">
        <v>364</v>
      </c>
      <c r="F830" s="1" t="s">
        <v>158</v>
      </c>
      <c r="G830" s="6">
        <v>42598</v>
      </c>
      <c r="H830" s="1">
        <v>2010</v>
      </c>
      <c r="I830" t="s">
        <v>55</v>
      </c>
      <c r="J830" s="1">
        <v>9</v>
      </c>
      <c r="K830" s="1" t="s">
        <v>20</v>
      </c>
      <c r="L830" s="1" t="s">
        <v>35</v>
      </c>
      <c r="M830" s="1">
        <v>7.8</v>
      </c>
      <c r="N830" s="1">
        <v>78.72</v>
      </c>
      <c r="O830" s="1">
        <v>15150000</v>
      </c>
      <c r="P830" t="s">
        <v>2282</v>
      </c>
    </row>
    <row r="831" spans="1:16" hidden="1" x14ac:dyDescent="0.3">
      <c r="A831" s="1" t="s">
        <v>1902</v>
      </c>
      <c r="B831" s="1" t="s">
        <v>37</v>
      </c>
      <c r="C831" s="1" t="s">
        <v>1903</v>
      </c>
      <c r="D831" s="1" t="s">
        <v>39</v>
      </c>
      <c r="E831" s="1" t="s">
        <v>784</v>
      </c>
      <c r="F831" s="1" t="s">
        <v>18</v>
      </c>
      <c r="G831" s="6">
        <v>42775</v>
      </c>
      <c r="H831" s="1">
        <v>2001</v>
      </c>
      <c r="I831" t="s">
        <v>77</v>
      </c>
      <c r="J831" s="1">
        <v>95</v>
      </c>
      <c r="K831" s="1" t="s">
        <v>28</v>
      </c>
      <c r="L831" s="1" t="s">
        <v>41</v>
      </c>
      <c r="M831" s="1">
        <v>9.6</v>
      </c>
      <c r="N831" s="1">
        <v>9.36</v>
      </c>
      <c r="O831" s="1">
        <v>80431000</v>
      </c>
      <c r="P831" t="s">
        <v>2282</v>
      </c>
    </row>
    <row r="832" spans="1:16" hidden="1" x14ac:dyDescent="0.3">
      <c r="A832" s="1" t="s">
        <v>1904</v>
      </c>
      <c r="B832" s="1" t="s">
        <v>37</v>
      </c>
      <c r="C832" s="1" t="s">
        <v>1905</v>
      </c>
      <c r="D832" s="1" t="s">
        <v>24</v>
      </c>
      <c r="E832" s="1" t="s">
        <v>75</v>
      </c>
      <c r="F832" s="1" t="s">
        <v>18</v>
      </c>
      <c r="G832" s="6">
        <v>42824</v>
      </c>
      <c r="H832" s="1">
        <v>2000</v>
      </c>
      <c r="I832" t="s">
        <v>77</v>
      </c>
      <c r="J832" s="1">
        <v>122</v>
      </c>
      <c r="K832" s="1" t="s">
        <v>28</v>
      </c>
      <c r="L832" s="1" t="s">
        <v>69</v>
      </c>
      <c r="M832" s="1">
        <v>9.6999999999999993</v>
      </c>
      <c r="N832" s="1">
        <v>98.67</v>
      </c>
      <c r="O832" s="1">
        <v>25560000</v>
      </c>
      <c r="P832" t="s">
        <v>2281</v>
      </c>
    </row>
    <row r="833" spans="1:16" hidden="1" x14ac:dyDescent="0.3">
      <c r="A833" s="1" t="s">
        <v>1906</v>
      </c>
      <c r="B833" s="1" t="s">
        <v>37</v>
      </c>
      <c r="C833" s="1" t="s">
        <v>1907</v>
      </c>
      <c r="D833" s="1" t="s">
        <v>72</v>
      </c>
      <c r="E833" s="1" t="s">
        <v>63</v>
      </c>
      <c r="F833" s="1" t="s">
        <v>18</v>
      </c>
      <c r="G833" s="6">
        <v>43522</v>
      </c>
      <c r="H833" s="1">
        <v>1994</v>
      </c>
      <c r="I833" t="s">
        <v>34</v>
      </c>
      <c r="J833" s="1">
        <v>132</v>
      </c>
      <c r="K833" s="1" t="s">
        <v>28</v>
      </c>
      <c r="L833" s="1" t="s">
        <v>52</v>
      </c>
      <c r="M833" s="1">
        <v>5</v>
      </c>
      <c r="N833" s="1">
        <v>16.649999999999999</v>
      </c>
      <c r="O833" s="1">
        <v>56528000</v>
      </c>
      <c r="P833" t="s">
        <v>2281</v>
      </c>
    </row>
    <row r="834" spans="1:16" x14ac:dyDescent="0.3">
      <c r="A834" s="1" t="s">
        <v>1908</v>
      </c>
      <c r="B834" s="1" t="s">
        <v>14</v>
      </c>
      <c r="C834" s="1" t="s">
        <v>1909</v>
      </c>
      <c r="D834" s="1" t="s">
        <v>24</v>
      </c>
      <c r="E834" s="1" t="s">
        <v>1910</v>
      </c>
      <c r="F834" s="1" t="s">
        <v>18</v>
      </c>
      <c r="G834" s="6">
        <v>42844</v>
      </c>
      <c r="H834" s="1">
        <v>2019</v>
      </c>
      <c r="I834" t="s">
        <v>77</v>
      </c>
      <c r="J834" s="1">
        <v>3</v>
      </c>
      <c r="K834" s="1" t="s">
        <v>20</v>
      </c>
      <c r="L834" s="1" t="s">
        <v>41</v>
      </c>
      <c r="M834" s="1">
        <v>1.5</v>
      </c>
      <c r="N834" s="1">
        <v>76.31</v>
      </c>
      <c r="O834" s="1">
        <v>38502000</v>
      </c>
      <c r="P834" t="s">
        <v>2281</v>
      </c>
    </row>
    <row r="835" spans="1:16" hidden="1" x14ac:dyDescent="0.3">
      <c r="A835" s="1" t="s">
        <v>1911</v>
      </c>
      <c r="B835" s="1" t="s">
        <v>37</v>
      </c>
      <c r="C835" s="1" t="s">
        <v>1912</v>
      </c>
      <c r="D835" s="1" t="s">
        <v>16</v>
      </c>
      <c r="E835" s="1" t="s">
        <v>17</v>
      </c>
      <c r="F835" s="1" t="s">
        <v>158</v>
      </c>
      <c r="G835" s="6">
        <v>43154</v>
      </c>
      <c r="H835" s="1">
        <v>2022</v>
      </c>
      <c r="I835" t="s">
        <v>27</v>
      </c>
      <c r="J835" s="1">
        <v>155</v>
      </c>
      <c r="K835" s="1" t="s">
        <v>28</v>
      </c>
      <c r="L835" s="1" t="s">
        <v>46</v>
      </c>
      <c r="M835" s="1">
        <v>7.7</v>
      </c>
      <c r="N835" s="1">
        <v>55.38</v>
      </c>
      <c r="O835" s="1">
        <v>43286000</v>
      </c>
      <c r="P835" t="s">
        <v>2282</v>
      </c>
    </row>
    <row r="836" spans="1:16" hidden="1" x14ac:dyDescent="0.3">
      <c r="A836" s="1" t="s">
        <v>1913</v>
      </c>
      <c r="B836" s="1" t="s">
        <v>37</v>
      </c>
      <c r="C836" s="1" t="s">
        <v>1914</v>
      </c>
      <c r="D836" s="1" t="s">
        <v>62</v>
      </c>
      <c r="E836" s="1" t="s">
        <v>40</v>
      </c>
      <c r="F836" s="1" t="s">
        <v>59</v>
      </c>
      <c r="G836" s="6">
        <v>43824</v>
      </c>
      <c r="H836" s="1">
        <v>2014</v>
      </c>
      <c r="I836" t="s">
        <v>89</v>
      </c>
      <c r="J836" s="1">
        <v>128</v>
      </c>
      <c r="K836" s="1" t="s">
        <v>28</v>
      </c>
      <c r="L836" s="1" t="s">
        <v>69</v>
      </c>
      <c r="M836" s="1">
        <v>9.1</v>
      </c>
      <c r="N836" s="1">
        <v>97.06</v>
      </c>
      <c r="O836" s="1">
        <v>49911000</v>
      </c>
      <c r="P836" t="s">
        <v>2282</v>
      </c>
    </row>
    <row r="837" spans="1:16" hidden="1" x14ac:dyDescent="0.3">
      <c r="A837" s="1" t="s">
        <v>1915</v>
      </c>
      <c r="B837" s="1" t="s">
        <v>37</v>
      </c>
      <c r="C837" s="1" t="s">
        <v>1916</v>
      </c>
      <c r="D837" s="1" t="s">
        <v>16</v>
      </c>
      <c r="E837" s="1" t="s">
        <v>717</v>
      </c>
      <c r="F837" s="1" t="s">
        <v>59</v>
      </c>
      <c r="G837" s="6">
        <v>44663</v>
      </c>
      <c r="H837" s="1">
        <v>2022</v>
      </c>
      <c r="I837" t="s">
        <v>27</v>
      </c>
      <c r="J837" s="1">
        <v>132</v>
      </c>
      <c r="K837" s="1" t="s">
        <v>28</v>
      </c>
      <c r="L837" s="1" t="s">
        <v>46</v>
      </c>
      <c r="M837" s="1">
        <v>6.7</v>
      </c>
      <c r="N837" s="1">
        <v>60.09</v>
      </c>
      <c r="O837" s="1">
        <v>100272000</v>
      </c>
      <c r="P837" t="s">
        <v>2282</v>
      </c>
    </row>
    <row r="838" spans="1:16" x14ac:dyDescent="0.3">
      <c r="A838" s="1" t="s">
        <v>1917</v>
      </c>
      <c r="B838" s="1" t="s">
        <v>14</v>
      </c>
      <c r="C838" s="1" t="s">
        <v>1918</v>
      </c>
      <c r="D838" s="1" t="s">
        <v>49</v>
      </c>
      <c r="E838" s="1" t="s">
        <v>386</v>
      </c>
      <c r="F838" s="1" t="s">
        <v>76</v>
      </c>
      <c r="G838" s="6">
        <v>43521</v>
      </c>
      <c r="H838" s="1">
        <v>1999</v>
      </c>
      <c r="I838" t="s">
        <v>77</v>
      </c>
      <c r="J838" s="1">
        <v>5</v>
      </c>
      <c r="K838" s="1" t="s">
        <v>20</v>
      </c>
      <c r="L838" s="1" t="s">
        <v>46</v>
      </c>
      <c r="M838" s="1">
        <v>3.6</v>
      </c>
      <c r="N838" s="1">
        <v>72.760000000000005</v>
      </c>
      <c r="O838" s="1">
        <v>71504000</v>
      </c>
      <c r="P838" t="s">
        <v>2282</v>
      </c>
    </row>
    <row r="839" spans="1:16" hidden="1" x14ac:dyDescent="0.3">
      <c r="A839" s="1" t="s">
        <v>1919</v>
      </c>
      <c r="B839" s="1" t="s">
        <v>37</v>
      </c>
      <c r="C839" s="1" t="s">
        <v>1920</v>
      </c>
      <c r="D839" s="1" t="s">
        <v>24</v>
      </c>
      <c r="E839" s="1" t="s">
        <v>484</v>
      </c>
      <c r="F839" s="1" t="s">
        <v>59</v>
      </c>
      <c r="G839" s="6">
        <v>44859</v>
      </c>
      <c r="H839" s="1">
        <v>2015</v>
      </c>
      <c r="I839" t="s">
        <v>77</v>
      </c>
      <c r="J839" s="1">
        <v>168</v>
      </c>
      <c r="K839" s="1" t="s">
        <v>28</v>
      </c>
      <c r="L839" s="1" t="s">
        <v>52</v>
      </c>
      <c r="M839" s="1">
        <v>6.1</v>
      </c>
      <c r="N839" s="1">
        <v>49.94</v>
      </c>
      <c r="O839" s="1">
        <v>14666000</v>
      </c>
      <c r="P839" t="s">
        <v>2281</v>
      </c>
    </row>
    <row r="840" spans="1:16" hidden="1" x14ac:dyDescent="0.3">
      <c r="A840" s="1" t="s">
        <v>1921</v>
      </c>
      <c r="B840" s="1" t="s">
        <v>37</v>
      </c>
      <c r="C840" s="1" t="s">
        <v>1922</v>
      </c>
      <c r="D840" s="1" t="s">
        <v>24</v>
      </c>
      <c r="E840" s="1" t="s">
        <v>72</v>
      </c>
      <c r="F840" s="1" t="s">
        <v>76</v>
      </c>
      <c r="G840" s="6">
        <v>42980</v>
      </c>
      <c r="H840" s="1">
        <v>1990</v>
      </c>
      <c r="I840" t="s">
        <v>19</v>
      </c>
      <c r="J840" s="1">
        <v>121</v>
      </c>
      <c r="K840" s="1" t="s">
        <v>28</v>
      </c>
      <c r="L840" s="1" t="s">
        <v>52</v>
      </c>
      <c r="M840" s="1">
        <v>5.9</v>
      </c>
      <c r="N840" s="1">
        <v>117.15</v>
      </c>
      <c r="O840" s="1">
        <v>35750000</v>
      </c>
      <c r="P840" t="s">
        <v>2281</v>
      </c>
    </row>
    <row r="841" spans="1:16" x14ac:dyDescent="0.3">
      <c r="A841" s="1" t="s">
        <v>1923</v>
      </c>
      <c r="B841" s="1" t="s">
        <v>14</v>
      </c>
      <c r="C841" s="1" t="s">
        <v>1924</v>
      </c>
      <c r="D841" s="1" t="s">
        <v>39</v>
      </c>
      <c r="E841" s="1" t="s">
        <v>846</v>
      </c>
      <c r="F841" s="1" t="s">
        <v>45</v>
      </c>
      <c r="G841" s="6">
        <v>43722</v>
      </c>
      <c r="H841" s="1">
        <v>2004</v>
      </c>
      <c r="I841" t="s">
        <v>34</v>
      </c>
      <c r="J841" s="1">
        <v>2</v>
      </c>
      <c r="K841" s="1" t="s">
        <v>20</v>
      </c>
      <c r="L841" s="1" t="s">
        <v>46</v>
      </c>
      <c r="M841" s="1">
        <v>8.6999999999999993</v>
      </c>
      <c r="N841" s="1">
        <v>11.64</v>
      </c>
      <c r="O841" s="1">
        <v>66703000</v>
      </c>
      <c r="P841" t="s">
        <v>2281</v>
      </c>
    </row>
    <row r="842" spans="1:16" hidden="1" x14ac:dyDescent="0.3">
      <c r="A842" s="1" t="s">
        <v>1925</v>
      </c>
      <c r="B842" s="1" t="s">
        <v>37</v>
      </c>
      <c r="C842" s="1" t="s">
        <v>1926</v>
      </c>
      <c r="D842" s="1" t="s">
        <v>72</v>
      </c>
      <c r="E842" s="1" t="s">
        <v>1193</v>
      </c>
      <c r="F842" s="1" t="s">
        <v>51</v>
      </c>
      <c r="G842" s="6">
        <v>44136</v>
      </c>
      <c r="H842" s="1">
        <v>1992</v>
      </c>
      <c r="I842" t="s">
        <v>77</v>
      </c>
      <c r="J842" s="1">
        <v>72</v>
      </c>
      <c r="K842" s="1" t="s">
        <v>28</v>
      </c>
      <c r="L842" s="1" t="s">
        <v>41</v>
      </c>
      <c r="M842" s="1">
        <v>3.9</v>
      </c>
      <c r="N842" s="1">
        <v>67.930000000000007</v>
      </c>
      <c r="O842" s="1">
        <v>67149000</v>
      </c>
      <c r="P842" t="s">
        <v>2281</v>
      </c>
    </row>
    <row r="843" spans="1:16" hidden="1" x14ac:dyDescent="0.3">
      <c r="A843" s="1" t="s">
        <v>1927</v>
      </c>
      <c r="B843" s="1" t="s">
        <v>37</v>
      </c>
      <c r="C843" s="1" t="s">
        <v>1928</v>
      </c>
      <c r="D843" s="1" t="s">
        <v>49</v>
      </c>
      <c r="E843" s="1" t="s">
        <v>117</v>
      </c>
      <c r="F843" s="1" t="s">
        <v>33</v>
      </c>
      <c r="G843" s="6">
        <v>44141</v>
      </c>
      <c r="H843" s="1">
        <v>2000</v>
      </c>
      <c r="I843" t="s">
        <v>19</v>
      </c>
      <c r="J843" s="1">
        <v>170</v>
      </c>
      <c r="K843" s="1" t="s">
        <v>28</v>
      </c>
      <c r="L843" s="1" t="s">
        <v>52</v>
      </c>
      <c r="M843" s="1">
        <v>9.1999999999999993</v>
      </c>
      <c r="N843" s="1">
        <v>100.28</v>
      </c>
      <c r="O843" s="1">
        <v>26188000</v>
      </c>
      <c r="P843" t="s">
        <v>2282</v>
      </c>
    </row>
    <row r="844" spans="1:16" x14ac:dyDescent="0.3">
      <c r="A844" s="1" t="s">
        <v>1929</v>
      </c>
      <c r="B844" s="1" t="s">
        <v>14</v>
      </c>
      <c r="C844" s="1" t="s">
        <v>1930</v>
      </c>
      <c r="D844" s="1" t="s">
        <v>24</v>
      </c>
      <c r="E844" s="1" t="s">
        <v>72</v>
      </c>
      <c r="F844" s="1" t="s">
        <v>51</v>
      </c>
      <c r="G844" s="6">
        <v>43815</v>
      </c>
      <c r="H844" s="1">
        <v>2022</v>
      </c>
      <c r="I844" t="s">
        <v>89</v>
      </c>
      <c r="J844" s="1">
        <v>1</v>
      </c>
      <c r="K844" s="1" t="s">
        <v>20</v>
      </c>
      <c r="L844" s="1" t="s">
        <v>35</v>
      </c>
      <c r="M844" s="1">
        <v>999</v>
      </c>
      <c r="N844" s="1">
        <v>64.17</v>
      </c>
      <c r="O844" s="1">
        <v>75999000</v>
      </c>
      <c r="P844" t="s">
        <v>2282</v>
      </c>
    </row>
    <row r="845" spans="1:16" x14ac:dyDescent="0.3">
      <c r="A845" s="1" t="s">
        <v>1931</v>
      </c>
      <c r="B845" s="1" t="s">
        <v>14</v>
      </c>
      <c r="C845" s="1" t="s">
        <v>1932</v>
      </c>
      <c r="D845" s="1" t="s">
        <v>62</v>
      </c>
      <c r="E845" s="1" t="s">
        <v>1140</v>
      </c>
      <c r="F845" s="1" t="s">
        <v>18</v>
      </c>
      <c r="G845" s="6">
        <v>45134</v>
      </c>
      <c r="H845" s="1">
        <v>2014</v>
      </c>
      <c r="I845" t="s">
        <v>27</v>
      </c>
      <c r="J845" s="1">
        <v>2</v>
      </c>
      <c r="K845" s="1" t="s">
        <v>20</v>
      </c>
      <c r="L845" s="1" t="s">
        <v>69</v>
      </c>
      <c r="M845" s="1">
        <v>8.8000000000000007</v>
      </c>
      <c r="N845" s="1">
        <v>75.59</v>
      </c>
      <c r="O845" s="1">
        <v>14512000</v>
      </c>
      <c r="P845" t="s">
        <v>2281</v>
      </c>
    </row>
    <row r="846" spans="1:16" hidden="1" x14ac:dyDescent="0.3">
      <c r="A846" s="1" t="s">
        <v>1933</v>
      </c>
      <c r="B846" s="1" t="s">
        <v>37</v>
      </c>
      <c r="C846" s="1" t="s">
        <v>1934</v>
      </c>
      <c r="D846" s="1" t="s">
        <v>24</v>
      </c>
      <c r="E846" s="1" t="s">
        <v>50</v>
      </c>
      <c r="F846" s="1" t="s">
        <v>76</v>
      </c>
      <c r="G846" s="6">
        <v>42491</v>
      </c>
      <c r="H846" s="1">
        <v>2020</v>
      </c>
      <c r="I846" t="s">
        <v>77</v>
      </c>
      <c r="J846" s="1">
        <v>103</v>
      </c>
      <c r="K846" s="1" t="s">
        <v>28</v>
      </c>
      <c r="L846" s="1" t="s">
        <v>41</v>
      </c>
      <c r="M846" s="1">
        <v>1.4</v>
      </c>
      <c r="N846" s="1">
        <v>3.79</v>
      </c>
      <c r="O846" s="1">
        <v>58528000</v>
      </c>
      <c r="P846" t="s">
        <v>2282</v>
      </c>
    </row>
    <row r="847" spans="1:16" hidden="1" x14ac:dyDescent="0.3">
      <c r="A847" s="1" t="s">
        <v>1935</v>
      </c>
      <c r="B847" s="1" t="s">
        <v>37</v>
      </c>
      <c r="C847" s="1" t="s">
        <v>1936</v>
      </c>
      <c r="D847" s="1" t="s">
        <v>39</v>
      </c>
      <c r="E847" s="1" t="s">
        <v>1558</v>
      </c>
      <c r="F847" s="1" t="s">
        <v>33</v>
      </c>
      <c r="G847" s="6">
        <v>43166</v>
      </c>
      <c r="H847" s="1">
        <v>2001</v>
      </c>
      <c r="I847" t="s">
        <v>34</v>
      </c>
      <c r="J847" s="1">
        <v>67</v>
      </c>
      <c r="K847" s="1" t="s">
        <v>28</v>
      </c>
      <c r="L847" s="1" t="s">
        <v>21</v>
      </c>
      <c r="M847" s="1">
        <v>7.6</v>
      </c>
      <c r="N847" s="1">
        <v>20.36</v>
      </c>
      <c r="O847" s="1">
        <v>50621000</v>
      </c>
      <c r="P847" t="s">
        <v>2281</v>
      </c>
    </row>
    <row r="848" spans="1:16" x14ac:dyDescent="0.3">
      <c r="A848" s="1" t="s">
        <v>1937</v>
      </c>
      <c r="B848" s="1" t="s">
        <v>14</v>
      </c>
      <c r="C848" s="1" t="s">
        <v>1938</v>
      </c>
      <c r="D848" s="1" t="s">
        <v>16</v>
      </c>
      <c r="E848" s="1" t="s">
        <v>717</v>
      </c>
      <c r="F848" s="1" t="s">
        <v>76</v>
      </c>
      <c r="G848" s="6">
        <v>43384</v>
      </c>
      <c r="H848" s="1">
        <v>1999</v>
      </c>
      <c r="I848" t="s">
        <v>89</v>
      </c>
      <c r="J848" s="1">
        <v>6</v>
      </c>
      <c r="K848" s="1" t="s">
        <v>20</v>
      </c>
      <c r="L848" s="1" t="s">
        <v>41</v>
      </c>
      <c r="M848" s="1">
        <v>1.5</v>
      </c>
      <c r="N848" s="1">
        <v>95.19</v>
      </c>
      <c r="O848" s="1">
        <v>48766000</v>
      </c>
      <c r="P848" t="s">
        <v>2281</v>
      </c>
    </row>
    <row r="849" spans="1:16" x14ac:dyDescent="0.3">
      <c r="A849" s="1" t="s">
        <v>1939</v>
      </c>
      <c r="B849" s="1" t="s">
        <v>14</v>
      </c>
      <c r="C849" s="1" t="s">
        <v>1940</v>
      </c>
      <c r="D849" s="1" t="s">
        <v>31</v>
      </c>
      <c r="E849" s="1" t="s">
        <v>584</v>
      </c>
      <c r="F849" s="1" t="s">
        <v>33</v>
      </c>
      <c r="G849" s="6">
        <v>44659</v>
      </c>
      <c r="H849" s="1">
        <v>2010</v>
      </c>
      <c r="I849" t="s">
        <v>27</v>
      </c>
      <c r="J849" s="1">
        <v>7</v>
      </c>
      <c r="K849" s="1" t="s">
        <v>20</v>
      </c>
      <c r="L849" s="1" t="s">
        <v>52</v>
      </c>
      <c r="M849" s="1">
        <v>4</v>
      </c>
      <c r="N849" s="1">
        <v>77.52</v>
      </c>
      <c r="O849" s="1">
        <v>49542000</v>
      </c>
      <c r="P849" t="s">
        <v>2281</v>
      </c>
    </row>
    <row r="850" spans="1:16" x14ac:dyDescent="0.3">
      <c r="A850" s="1" t="s">
        <v>1941</v>
      </c>
      <c r="B850" s="1" t="s">
        <v>14</v>
      </c>
      <c r="C850" s="1" t="s">
        <v>1942</v>
      </c>
      <c r="D850" s="1" t="s">
        <v>72</v>
      </c>
      <c r="E850" s="1" t="s">
        <v>216</v>
      </c>
      <c r="F850" s="1" t="s">
        <v>59</v>
      </c>
      <c r="G850" s="6">
        <v>43904</v>
      </c>
      <c r="H850" s="1">
        <v>2009</v>
      </c>
      <c r="I850" t="s">
        <v>89</v>
      </c>
      <c r="J850" s="1">
        <v>9</v>
      </c>
      <c r="K850" s="1" t="s">
        <v>20</v>
      </c>
      <c r="L850" s="1" t="s">
        <v>41</v>
      </c>
      <c r="M850" s="1">
        <v>4.5999999999999996</v>
      </c>
      <c r="N850" s="1">
        <v>78.03</v>
      </c>
      <c r="O850" s="1">
        <v>76608000</v>
      </c>
      <c r="P850" t="s">
        <v>2282</v>
      </c>
    </row>
    <row r="851" spans="1:16" hidden="1" x14ac:dyDescent="0.3">
      <c r="A851" s="1" t="s">
        <v>1943</v>
      </c>
      <c r="B851" s="1" t="s">
        <v>37</v>
      </c>
      <c r="C851" s="1" t="s">
        <v>1944</v>
      </c>
      <c r="D851" s="1" t="s">
        <v>31</v>
      </c>
      <c r="E851" s="1" t="s">
        <v>207</v>
      </c>
      <c r="F851" s="1" t="s">
        <v>33</v>
      </c>
      <c r="G851" s="6">
        <v>44517</v>
      </c>
      <c r="H851" s="1">
        <v>1995</v>
      </c>
      <c r="I851" t="s">
        <v>55</v>
      </c>
      <c r="J851" s="1">
        <v>87</v>
      </c>
      <c r="K851" s="1" t="s">
        <v>28</v>
      </c>
      <c r="L851" s="1" t="s">
        <v>35</v>
      </c>
      <c r="M851" s="1">
        <v>1.9</v>
      </c>
      <c r="N851" s="1">
        <v>121.32</v>
      </c>
      <c r="O851" s="1">
        <v>9722000</v>
      </c>
      <c r="P851" t="s">
        <v>2282</v>
      </c>
    </row>
    <row r="852" spans="1:16" hidden="1" x14ac:dyDescent="0.3">
      <c r="A852" s="1" t="s">
        <v>1945</v>
      </c>
      <c r="B852" s="1" t="s">
        <v>37</v>
      </c>
      <c r="C852" s="1" t="s">
        <v>1946</v>
      </c>
      <c r="D852" s="1" t="s">
        <v>62</v>
      </c>
      <c r="E852" s="1" t="s">
        <v>195</v>
      </c>
      <c r="F852" s="1" t="s">
        <v>158</v>
      </c>
      <c r="G852" s="6">
        <v>42590</v>
      </c>
      <c r="H852" s="1">
        <v>1999</v>
      </c>
      <c r="I852" t="s">
        <v>55</v>
      </c>
      <c r="J852" s="1">
        <v>172</v>
      </c>
      <c r="K852" s="1" t="s">
        <v>28</v>
      </c>
      <c r="L852" s="1" t="s">
        <v>52</v>
      </c>
      <c r="M852" s="1">
        <v>3.3</v>
      </c>
      <c r="N852" s="1">
        <v>97.34</v>
      </c>
      <c r="O852" s="1">
        <v>39957000</v>
      </c>
      <c r="P852" t="s">
        <v>2282</v>
      </c>
    </row>
    <row r="853" spans="1:16" hidden="1" x14ac:dyDescent="0.3">
      <c r="A853" s="1" t="s">
        <v>1947</v>
      </c>
      <c r="B853" s="1" t="s">
        <v>37</v>
      </c>
      <c r="C853" s="1" t="s">
        <v>1948</v>
      </c>
      <c r="D853" s="1" t="s">
        <v>49</v>
      </c>
      <c r="E853" s="1" t="s">
        <v>354</v>
      </c>
      <c r="F853" s="1" t="s">
        <v>59</v>
      </c>
      <c r="G853" s="6">
        <v>45161</v>
      </c>
      <c r="H853" s="1">
        <v>1993</v>
      </c>
      <c r="I853" t="s">
        <v>27</v>
      </c>
      <c r="J853" s="1">
        <v>129</v>
      </c>
      <c r="K853" s="1" t="s">
        <v>28</v>
      </c>
      <c r="L853" s="1" t="s">
        <v>35</v>
      </c>
      <c r="M853" s="1">
        <v>9.3000000000000007</v>
      </c>
      <c r="N853" s="1">
        <v>111.52</v>
      </c>
      <c r="O853" s="1">
        <v>76481000</v>
      </c>
      <c r="P853" t="s">
        <v>2282</v>
      </c>
    </row>
    <row r="854" spans="1:16" x14ac:dyDescent="0.3">
      <c r="A854" s="1" t="s">
        <v>1949</v>
      </c>
      <c r="B854" s="1" t="s">
        <v>14</v>
      </c>
      <c r="C854" s="1" t="s">
        <v>1950</v>
      </c>
      <c r="D854" s="1" t="s">
        <v>49</v>
      </c>
      <c r="E854" s="1" t="s">
        <v>722</v>
      </c>
      <c r="F854" s="1" t="s">
        <v>59</v>
      </c>
      <c r="G854" s="6">
        <v>43478</v>
      </c>
      <c r="H854" s="1">
        <v>1995</v>
      </c>
      <c r="I854" t="s">
        <v>55</v>
      </c>
      <c r="J854" s="1">
        <v>1</v>
      </c>
      <c r="K854" s="1" t="s">
        <v>20</v>
      </c>
      <c r="L854" s="1" t="s">
        <v>21</v>
      </c>
      <c r="M854" s="1">
        <v>9.3000000000000007</v>
      </c>
      <c r="N854" s="1">
        <v>121.98</v>
      </c>
      <c r="O854" s="1">
        <v>86512000</v>
      </c>
      <c r="P854" t="s">
        <v>2282</v>
      </c>
    </row>
    <row r="855" spans="1:16" hidden="1" x14ac:dyDescent="0.3">
      <c r="A855" s="1" t="s">
        <v>1951</v>
      </c>
      <c r="B855" s="1" t="s">
        <v>37</v>
      </c>
      <c r="C855" s="1" t="s">
        <v>1952</v>
      </c>
      <c r="D855" s="1" t="s">
        <v>49</v>
      </c>
      <c r="E855" s="1" t="s">
        <v>75</v>
      </c>
      <c r="F855" s="1" t="s">
        <v>45</v>
      </c>
      <c r="G855" s="6">
        <v>45107</v>
      </c>
      <c r="H855" s="1">
        <v>2000</v>
      </c>
      <c r="I855" t="s">
        <v>19</v>
      </c>
      <c r="J855" s="1">
        <v>139</v>
      </c>
      <c r="K855" s="1" t="s">
        <v>28</v>
      </c>
      <c r="L855" s="1" t="s">
        <v>52</v>
      </c>
      <c r="M855" s="1">
        <v>8.8000000000000007</v>
      </c>
      <c r="N855" s="1">
        <v>140.68</v>
      </c>
      <c r="O855" s="1">
        <v>27997000</v>
      </c>
      <c r="P855" t="s">
        <v>2282</v>
      </c>
    </row>
    <row r="856" spans="1:16" hidden="1" x14ac:dyDescent="0.3">
      <c r="A856" s="1" t="s">
        <v>1953</v>
      </c>
      <c r="B856" s="1" t="s">
        <v>37</v>
      </c>
      <c r="C856" s="1" t="s">
        <v>1954</v>
      </c>
      <c r="D856" s="1" t="s">
        <v>31</v>
      </c>
      <c r="E856" s="1" t="s">
        <v>201</v>
      </c>
      <c r="F856" s="1" t="s">
        <v>18</v>
      </c>
      <c r="G856" s="6">
        <v>45160</v>
      </c>
      <c r="H856" s="1">
        <v>2008</v>
      </c>
      <c r="I856" t="s">
        <v>27</v>
      </c>
      <c r="J856" s="1">
        <v>157</v>
      </c>
      <c r="K856" s="1" t="s">
        <v>28</v>
      </c>
      <c r="L856" s="1" t="s">
        <v>35</v>
      </c>
      <c r="M856" s="1">
        <v>8.9</v>
      </c>
      <c r="N856" s="1">
        <v>72.55</v>
      </c>
      <c r="O856" s="1">
        <v>49544000</v>
      </c>
      <c r="P856" t="s">
        <v>2281</v>
      </c>
    </row>
    <row r="857" spans="1:16" hidden="1" x14ac:dyDescent="0.3">
      <c r="A857" s="1" t="s">
        <v>1955</v>
      </c>
      <c r="B857" s="1" t="s">
        <v>37</v>
      </c>
      <c r="C857" s="1" t="s">
        <v>1956</v>
      </c>
      <c r="D857" s="1" t="s">
        <v>72</v>
      </c>
      <c r="E857" s="1" t="s">
        <v>400</v>
      </c>
      <c r="F857" s="1" t="s">
        <v>33</v>
      </c>
      <c r="G857" s="6">
        <v>42024</v>
      </c>
      <c r="H857" s="1">
        <v>2002</v>
      </c>
      <c r="I857" t="s">
        <v>89</v>
      </c>
      <c r="J857" s="1">
        <v>117</v>
      </c>
      <c r="K857" s="1" t="s">
        <v>28</v>
      </c>
      <c r="L857" s="1" t="s">
        <v>21</v>
      </c>
      <c r="M857" s="1">
        <v>1.7</v>
      </c>
      <c r="N857" s="1">
        <v>121.32</v>
      </c>
      <c r="O857" s="1">
        <v>77916000</v>
      </c>
      <c r="P857" t="s">
        <v>2281</v>
      </c>
    </row>
    <row r="858" spans="1:16" hidden="1" x14ac:dyDescent="0.3">
      <c r="A858" s="1" t="s">
        <v>1957</v>
      </c>
      <c r="B858" s="1" t="s">
        <v>37</v>
      </c>
      <c r="C858" s="1" t="s">
        <v>1958</v>
      </c>
      <c r="D858" s="1" t="s">
        <v>16</v>
      </c>
      <c r="E858" s="1" t="s">
        <v>95</v>
      </c>
      <c r="F858" s="1" t="s">
        <v>18</v>
      </c>
      <c r="G858" s="6">
        <v>43204</v>
      </c>
      <c r="H858" s="1">
        <v>1990</v>
      </c>
      <c r="I858" t="s">
        <v>77</v>
      </c>
      <c r="J858" s="1">
        <v>104</v>
      </c>
      <c r="K858" s="1" t="s">
        <v>28</v>
      </c>
      <c r="L858" s="1" t="s">
        <v>46</v>
      </c>
      <c r="M858" s="1">
        <v>9</v>
      </c>
      <c r="N858" s="1">
        <v>40.08</v>
      </c>
      <c r="O858" s="1">
        <v>24805000</v>
      </c>
      <c r="P858" t="s">
        <v>2281</v>
      </c>
    </row>
    <row r="859" spans="1:16" x14ac:dyDescent="0.3">
      <c r="A859" s="1" t="s">
        <v>1959</v>
      </c>
      <c r="B859" s="1" t="s">
        <v>14</v>
      </c>
      <c r="C859" s="1" t="s">
        <v>1960</v>
      </c>
      <c r="D859" s="1" t="s">
        <v>49</v>
      </c>
      <c r="E859" s="1" t="s">
        <v>1781</v>
      </c>
      <c r="F859" s="1" t="s">
        <v>51</v>
      </c>
      <c r="G859" s="6">
        <v>44995</v>
      </c>
      <c r="H859" s="1">
        <v>1992</v>
      </c>
      <c r="I859" t="s">
        <v>34</v>
      </c>
      <c r="J859" s="1">
        <v>5</v>
      </c>
      <c r="K859" s="1" t="s">
        <v>20</v>
      </c>
      <c r="L859" s="1" t="s">
        <v>69</v>
      </c>
      <c r="M859" s="1">
        <v>4.4000000000000004</v>
      </c>
      <c r="N859" s="1">
        <v>43.35</v>
      </c>
      <c r="O859" s="1">
        <v>58977000</v>
      </c>
      <c r="P859" t="s">
        <v>2282</v>
      </c>
    </row>
    <row r="860" spans="1:16" hidden="1" x14ac:dyDescent="0.3">
      <c r="A860" s="1" t="s">
        <v>1961</v>
      </c>
      <c r="B860" s="1" t="s">
        <v>37</v>
      </c>
      <c r="C860" s="1" t="s">
        <v>1962</v>
      </c>
      <c r="D860" s="1" t="s">
        <v>24</v>
      </c>
      <c r="E860" s="1" t="s">
        <v>267</v>
      </c>
      <c r="F860" s="1" t="s">
        <v>51</v>
      </c>
      <c r="G860" s="6">
        <v>43046</v>
      </c>
      <c r="H860" s="1">
        <v>2005</v>
      </c>
      <c r="I860" t="s">
        <v>55</v>
      </c>
      <c r="J860" s="1">
        <v>71</v>
      </c>
      <c r="K860" s="1" t="s">
        <v>28</v>
      </c>
      <c r="L860" s="1" t="s">
        <v>41</v>
      </c>
      <c r="M860" s="1">
        <v>9.6</v>
      </c>
      <c r="N860" s="1">
        <v>130.97</v>
      </c>
      <c r="O860" s="1">
        <v>33765000</v>
      </c>
      <c r="P860" t="s">
        <v>2282</v>
      </c>
    </row>
    <row r="861" spans="1:16" x14ac:dyDescent="0.3">
      <c r="A861" s="1" t="s">
        <v>1963</v>
      </c>
      <c r="B861" s="1" t="s">
        <v>14</v>
      </c>
      <c r="C861" s="1" t="s">
        <v>1964</v>
      </c>
      <c r="D861" s="1" t="s">
        <v>31</v>
      </c>
      <c r="E861" s="1" t="s">
        <v>400</v>
      </c>
      <c r="F861" s="1" t="s">
        <v>51</v>
      </c>
      <c r="G861" s="6">
        <v>42570</v>
      </c>
      <c r="H861" s="1">
        <v>1990</v>
      </c>
      <c r="I861" t="s">
        <v>89</v>
      </c>
      <c r="J861" s="1">
        <v>2</v>
      </c>
      <c r="K861" s="1" t="s">
        <v>20</v>
      </c>
      <c r="L861" s="1" t="s">
        <v>69</v>
      </c>
      <c r="M861" s="1">
        <v>999</v>
      </c>
      <c r="N861" s="1">
        <v>147.59</v>
      </c>
      <c r="O861" s="1">
        <v>29587000</v>
      </c>
      <c r="P861" t="s">
        <v>2282</v>
      </c>
    </row>
    <row r="862" spans="1:16" hidden="1" x14ac:dyDescent="0.3">
      <c r="A862" s="1" t="s">
        <v>1965</v>
      </c>
      <c r="B862" s="1" t="s">
        <v>37</v>
      </c>
      <c r="C862" s="1" t="s">
        <v>1966</v>
      </c>
      <c r="D862" s="1" t="s">
        <v>31</v>
      </c>
      <c r="E862" s="1" t="s">
        <v>309</v>
      </c>
      <c r="F862" s="1" t="s">
        <v>26</v>
      </c>
      <c r="G862" s="6">
        <v>43833</v>
      </c>
      <c r="H862" s="1">
        <v>2003</v>
      </c>
      <c r="I862" t="s">
        <v>34</v>
      </c>
      <c r="J862" s="1">
        <v>165</v>
      </c>
      <c r="K862" s="1" t="s">
        <v>28</v>
      </c>
      <c r="L862" s="1" t="s">
        <v>35</v>
      </c>
      <c r="M862" s="1">
        <v>8.1999999999999993</v>
      </c>
      <c r="N862" s="1">
        <v>123.83</v>
      </c>
      <c r="O862" s="1">
        <v>54417000</v>
      </c>
      <c r="P862" t="s">
        <v>2282</v>
      </c>
    </row>
    <row r="863" spans="1:16" x14ac:dyDescent="0.3">
      <c r="A863" s="1" t="s">
        <v>1967</v>
      </c>
      <c r="B863" s="1" t="s">
        <v>14</v>
      </c>
      <c r="C863" s="1" t="s">
        <v>1968</v>
      </c>
      <c r="D863" s="1" t="s">
        <v>62</v>
      </c>
      <c r="E863" s="1" t="s">
        <v>1969</v>
      </c>
      <c r="F863" s="1" t="s">
        <v>158</v>
      </c>
      <c r="G863" s="6">
        <v>43642</v>
      </c>
      <c r="H863" s="1">
        <v>1992</v>
      </c>
      <c r="I863" t="s">
        <v>34</v>
      </c>
      <c r="J863" s="1">
        <v>5</v>
      </c>
      <c r="K863" s="1" t="s">
        <v>20</v>
      </c>
      <c r="L863" s="1" t="s">
        <v>21</v>
      </c>
      <c r="M863" s="1">
        <v>2.4</v>
      </c>
      <c r="N863" s="1">
        <v>50.85</v>
      </c>
      <c r="O863" s="1">
        <v>25178000</v>
      </c>
      <c r="P863" t="s">
        <v>2282</v>
      </c>
    </row>
    <row r="864" spans="1:16" x14ac:dyDescent="0.3">
      <c r="A864" s="1" t="s">
        <v>1970</v>
      </c>
      <c r="B864" s="1" t="s">
        <v>14</v>
      </c>
      <c r="C864" s="1" t="s">
        <v>1971</v>
      </c>
      <c r="D864" s="1" t="s">
        <v>31</v>
      </c>
      <c r="E864" s="1" t="s">
        <v>660</v>
      </c>
      <c r="F864" s="1" t="s">
        <v>33</v>
      </c>
      <c r="G864" s="6">
        <v>42495</v>
      </c>
      <c r="H864" s="1">
        <v>2002</v>
      </c>
      <c r="I864" t="s">
        <v>27</v>
      </c>
      <c r="J864" s="1">
        <v>8</v>
      </c>
      <c r="K864" s="1" t="s">
        <v>20</v>
      </c>
      <c r="L864" s="1" t="s">
        <v>52</v>
      </c>
      <c r="M864" s="1">
        <v>5</v>
      </c>
      <c r="N864" s="1">
        <v>105.31</v>
      </c>
      <c r="O864" s="1">
        <v>77633000</v>
      </c>
      <c r="P864" t="s">
        <v>2282</v>
      </c>
    </row>
    <row r="865" spans="1:16" hidden="1" x14ac:dyDescent="0.3">
      <c r="A865" s="1" t="s">
        <v>1972</v>
      </c>
      <c r="B865" s="1" t="s">
        <v>37</v>
      </c>
      <c r="C865" s="1" t="s">
        <v>1973</v>
      </c>
      <c r="D865" s="1" t="s">
        <v>16</v>
      </c>
      <c r="E865" s="1" t="s">
        <v>204</v>
      </c>
      <c r="F865" s="1" t="s">
        <v>59</v>
      </c>
      <c r="G865" s="6">
        <v>42063</v>
      </c>
      <c r="H865" s="1">
        <v>1995</v>
      </c>
      <c r="I865" t="s">
        <v>34</v>
      </c>
      <c r="J865" s="1">
        <v>99</v>
      </c>
      <c r="K865" s="1" t="s">
        <v>28</v>
      </c>
      <c r="L865" s="1" t="s">
        <v>46</v>
      </c>
      <c r="M865" s="1">
        <v>1.4</v>
      </c>
      <c r="N865" s="1">
        <v>133.47999999999999</v>
      </c>
      <c r="O865" s="1">
        <v>5690000</v>
      </c>
      <c r="P865" t="s">
        <v>2282</v>
      </c>
    </row>
    <row r="866" spans="1:16" x14ac:dyDescent="0.3">
      <c r="A866" s="1" t="s">
        <v>1974</v>
      </c>
      <c r="B866" s="1" t="s">
        <v>14</v>
      </c>
      <c r="C866" s="1" t="s">
        <v>1975</v>
      </c>
      <c r="D866" s="1" t="s">
        <v>24</v>
      </c>
      <c r="E866" s="1" t="s">
        <v>364</v>
      </c>
      <c r="F866" s="1" t="s">
        <v>18</v>
      </c>
      <c r="G866" s="6">
        <v>44142</v>
      </c>
      <c r="H866" s="1">
        <v>1992</v>
      </c>
      <c r="I866" t="s">
        <v>77</v>
      </c>
      <c r="J866" s="1">
        <v>1</v>
      </c>
      <c r="K866" s="1" t="s">
        <v>20</v>
      </c>
      <c r="L866" s="1" t="s">
        <v>69</v>
      </c>
      <c r="M866" s="1">
        <v>4.5</v>
      </c>
      <c r="N866" s="1">
        <v>86.69</v>
      </c>
      <c r="O866" s="1">
        <v>9908000</v>
      </c>
      <c r="P866" t="s">
        <v>2282</v>
      </c>
    </row>
    <row r="867" spans="1:16" x14ac:dyDescent="0.3">
      <c r="A867" s="1" t="s">
        <v>1976</v>
      </c>
      <c r="B867" s="1" t="s">
        <v>14</v>
      </c>
      <c r="C867" s="1" t="s">
        <v>1977</v>
      </c>
      <c r="D867" s="1" t="s">
        <v>49</v>
      </c>
      <c r="E867" s="1" t="s">
        <v>111</v>
      </c>
      <c r="F867" s="1" t="s">
        <v>76</v>
      </c>
      <c r="G867" s="6">
        <v>43633</v>
      </c>
      <c r="H867" s="1">
        <v>1999</v>
      </c>
      <c r="I867" t="s">
        <v>77</v>
      </c>
      <c r="J867" s="1">
        <v>9</v>
      </c>
      <c r="K867" s="1" t="s">
        <v>20</v>
      </c>
      <c r="L867" s="1" t="s">
        <v>41</v>
      </c>
      <c r="M867" s="1">
        <v>2.6</v>
      </c>
      <c r="N867" s="1">
        <v>28.91</v>
      </c>
      <c r="O867" s="1">
        <v>56849000</v>
      </c>
      <c r="P867" t="s">
        <v>2282</v>
      </c>
    </row>
    <row r="868" spans="1:16" hidden="1" x14ac:dyDescent="0.3">
      <c r="A868" s="1" t="s">
        <v>1978</v>
      </c>
      <c r="B868" s="1" t="s">
        <v>37</v>
      </c>
      <c r="C868" s="1" t="s">
        <v>1979</v>
      </c>
      <c r="D868" s="1" t="s">
        <v>49</v>
      </c>
      <c r="E868" s="1" t="s">
        <v>50</v>
      </c>
      <c r="F868" s="1" t="s">
        <v>18</v>
      </c>
      <c r="G868" s="6">
        <v>44148</v>
      </c>
      <c r="H868" s="1">
        <v>1997</v>
      </c>
      <c r="I868" t="s">
        <v>89</v>
      </c>
      <c r="J868" s="1">
        <v>168</v>
      </c>
      <c r="K868" s="1" t="s">
        <v>28</v>
      </c>
      <c r="L868" s="1" t="s">
        <v>35</v>
      </c>
      <c r="M868" s="1">
        <v>5.6</v>
      </c>
      <c r="N868" s="1">
        <v>12.18</v>
      </c>
      <c r="O868" s="1">
        <v>16899000</v>
      </c>
      <c r="P868" t="s">
        <v>2282</v>
      </c>
    </row>
    <row r="869" spans="1:16" x14ac:dyDescent="0.3">
      <c r="A869" s="1" t="s">
        <v>1980</v>
      </c>
      <c r="B869" s="1" t="s">
        <v>14</v>
      </c>
      <c r="C869" s="1" t="s">
        <v>1981</v>
      </c>
      <c r="D869" s="1" t="s">
        <v>49</v>
      </c>
      <c r="E869" s="1" t="s">
        <v>1457</v>
      </c>
      <c r="F869" s="1" t="s">
        <v>158</v>
      </c>
      <c r="G869" s="6">
        <v>42643</v>
      </c>
      <c r="H869" s="1">
        <v>2005</v>
      </c>
      <c r="I869" t="s">
        <v>89</v>
      </c>
      <c r="J869" s="1">
        <v>7</v>
      </c>
      <c r="K869" s="1" t="s">
        <v>20</v>
      </c>
      <c r="L869" s="1" t="s">
        <v>69</v>
      </c>
      <c r="M869" s="1">
        <v>2.5</v>
      </c>
      <c r="N869" s="1">
        <v>62.49</v>
      </c>
      <c r="O869" s="1">
        <v>77979000</v>
      </c>
      <c r="P869" t="s">
        <v>2282</v>
      </c>
    </row>
    <row r="870" spans="1:16" hidden="1" x14ac:dyDescent="0.3">
      <c r="A870" s="1" t="s">
        <v>1982</v>
      </c>
      <c r="B870" s="1" t="s">
        <v>37</v>
      </c>
      <c r="C870" s="1" t="s">
        <v>1983</v>
      </c>
      <c r="D870" s="1" t="s">
        <v>62</v>
      </c>
      <c r="E870" s="1" t="s">
        <v>1733</v>
      </c>
      <c r="F870" s="1" t="s">
        <v>33</v>
      </c>
      <c r="G870" s="6">
        <v>42369</v>
      </c>
      <c r="H870" s="1">
        <v>2021</v>
      </c>
      <c r="I870" t="s">
        <v>19</v>
      </c>
      <c r="J870" s="1">
        <v>133</v>
      </c>
      <c r="K870" s="1" t="s">
        <v>28</v>
      </c>
      <c r="L870" s="1" t="s">
        <v>69</v>
      </c>
      <c r="M870" s="1">
        <v>6.8</v>
      </c>
      <c r="N870" s="1">
        <v>8.42</v>
      </c>
      <c r="O870" s="1">
        <v>20689000</v>
      </c>
      <c r="P870" t="s">
        <v>2281</v>
      </c>
    </row>
    <row r="871" spans="1:16" x14ac:dyDescent="0.3">
      <c r="A871" s="1" t="s">
        <v>1984</v>
      </c>
      <c r="B871" s="1" t="s">
        <v>14</v>
      </c>
      <c r="C871" s="1" t="s">
        <v>1985</v>
      </c>
      <c r="D871" s="1" t="s">
        <v>62</v>
      </c>
      <c r="E871" s="1" t="s">
        <v>75</v>
      </c>
      <c r="F871" s="1" t="s">
        <v>76</v>
      </c>
      <c r="G871" s="6">
        <v>43951</v>
      </c>
      <c r="H871" s="1">
        <v>2007</v>
      </c>
      <c r="I871" t="s">
        <v>77</v>
      </c>
      <c r="J871" s="1">
        <v>7</v>
      </c>
      <c r="K871" s="1" t="s">
        <v>20</v>
      </c>
      <c r="L871" s="1" t="s">
        <v>46</v>
      </c>
      <c r="M871" s="1">
        <v>7.6</v>
      </c>
      <c r="N871" s="1">
        <v>0.42</v>
      </c>
      <c r="O871" s="1">
        <v>2581000</v>
      </c>
      <c r="P871" t="s">
        <v>2282</v>
      </c>
    </row>
    <row r="872" spans="1:16" x14ac:dyDescent="0.3">
      <c r="A872" s="1" t="s">
        <v>1986</v>
      </c>
      <c r="B872" s="1" t="s">
        <v>14</v>
      </c>
      <c r="C872" s="1" t="s">
        <v>1987</v>
      </c>
      <c r="D872" s="1" t="s">
        <v>72</v>
      </c>
      <c r="E872" s="1" t="s">
        <v>1457</v>
      </c>
      <c r="F872" s="1" t="s">
        <v>158</v>
      </c>
      <c r="G872" s="6">
        <v>44239</v>
      </c>
      <c r="H872" s="1">
        <v>2005</v>
      </c>
      <c r="I872" t="s">
        <v>77</v>
      </c>
      <c r="J872" s="1">
        <v>8</v>
      </c>
      <c r="K872" s="1" t="s">
        <v>20</v>
      </c>
      <c r="L872" s="1" t="s">
        <v>35</v>
      </c>
      <c r="M872" s="1">
        <v>8.1</v>
      </c>
      <c r="N872" s="1">
        <v>141.84</v>
      </c>
      <c r="O872" s="1">
        <v>72418000</v>
      </c>
      <c r="P872" t="s">
        <v>2282</v>
      </c>
    </row>
    <row r="873" spans="1:16" hidden="1" x14ac:dyDescent="0.3">
      <c r="A873" s="1" t="s">
        <v>1988</v>
      </c>
      <c r="B873" s="1" t="s">
        <v>37</v>
      </c>
      <c r="C873" s="1" t="s">
        <v>1989</v>
      </c>
      <c r="D873" s="1" t="s">
        <v>31</v>
      </c>
      <c r="E873" s="1" t="s">
        <v>50</v>
      </c>
      <c r="F873" s="1" t="s">
        <v>33</v>
      </c>
      <c r="G873" s="6">
        <v>43162</v>
      </c>
      <c r="H873" s="1">
        <v>2001</v>
      </c>
      <c r="I873" t="s">
        <v>34</v>
      </c>
      <c r="J873" s="1">
        <v>64</v>
      </c>
      <c r="K873" s="1" t="s">
        <v>28</v>
      </c>
      <c r="L873" s="1" t="s">
        <v>69</v>
      </c>
      <c r="M873" s="1">
        <v>6.7</v>
      </c>
      <c r="N873" s="1">
        <v>74.62</v>
      </c>
      <c r="O873" s="1">
        <v>36266000</v>
      </c>
      <c r="P873" t="s">
        <v>2282</v>
      </c>
    </row>
    <row r="874" spans="1:16" hidden="1" x14ac:dyDescent="0.3">
      <c r="A874" s="1" t="s">
        <v>1990</v>
      </c>
      <c r="B874" s="1" t="s">
        <v>37</v>
      </c>
      <c r="C874" s="1" t="s">
        <v>1991</v>
      </c>
      <c r="D874" s="1" t="s">
        <v>62</v>
      </c>
      <c r="E874" s="1" t="s">
        <v>72</v>
      </c>
      <c r="F874" s="1" t="s">
        <v>59</v>
      </c>
      <c r="G874" s="6">
        <v>44529</v>
      </c>
      <c r="H874" s="1">
        <v>2023</v>
      </c>
      <c r="I874" t="s">
        <v>19</v>
      </c>
      <c r="J874" s="1">
        <v>169</v>
      </c>
      <c r="K874" s="1" t="s">
        <v>28</v>
      </c>
      <c r="L874" s="1" t="s">
        <v>52</v>
      </c>
      <c r="M874" s="1">
        <v>4.2</v>
      </c>
      <c r="N874" s="1">
        <v>79.2</v>
      </c>
      <c r="O874" s="1">
        <v>40788000</v>
      </c>
      <c r="P874" t="s">
        <v>2282</v>
      </c>
    </row>
    <row r="875" spans="1:16" x14ac:dyDescent="0.3">
      <c r="A875" s="1" t="s">
        <v>1992</v>
      </c>
      <c r="B875" s="1" t="s">
        <v>14</v>
      </c>
      <c r="C875" s="1" t="s">
        <v>1993</v>
      </c>
      <c r="D875" s="1" t="s">
        <v>62</v>
      </c>
      <c r="E875" s="1" t="s">
        <v>354</v>
      </c>
      <c r="F875" s="1" t="s">
        <v>51</v>
      </c>
      <c r="G875" s="6">
        <v>44387</v>
      </c>
      <c r="H875" s="1">
        <v>2021</v>
      </c>
      <c r="I875" t="s">
        <v>89</v>
      </c>
      <c r="J875" s="1">
        <v>3</v>
      </c>
      <c r="K875" s="1" t="s">
        <v>20</v>
      </c>
      <c r="L875" s="1" t="s">
        <v>41</v>
      </c>
      <c r="M875" s="1">
        <v>5.2</v>
      </c>
      <c r="N875" s="1">
        <v>98.63</v>
      </c>
      <c r="O875" s="1">
        <v>8738000</v>
      </c>
      <c r="P875" t="s">
        <v>2281</v>
      </c>
    </row>
    <row r="876" spans="1:16" x14ac:dyDescent="0.3">
      <c r="A876" s="1" t="s">
        <v>1994</v>
      </c>
      <c r="B876" s="1" t="s">
        <v>14</v>
      </c>
      <c r="C876" s="1" t="s">
        <v>1995</v>
      </c>
      <c r="D876" s="1" t="s">
        <v>24</v>
      </c>
      <c r="E876" s="1" t="s">
        <v>75</v>
      </c>
      <c r="F876" s="1" t="s">
        <v>45</v>
      </c>
      <c r="G876" s="6">
        <v>42413</v>
      </c>
      <c r="H876" s="1">
        <v>1997</v>
      </c>
      <c r="I876" t="s">
        <v>89</v>
      </c>
      <c r="J876" s="1">
        <v>7</v>
      </c>
      <c r="K876" s="1" t="s">
        <v>20</v>
      </c>
      <c r="L876" s="1" t="s">
        <v>69</v>
      </c>
      <c r="M876" s="1">
        <v>3.2</v>
      </c>
      <c r="N876" s="1">
        <v>61.16</v>
      </c>
      <c r="O876" s="1">
        <v>11820000</v>
      </c>
      <c r="P876" t="s">
        <v>2282</v>
      </c>
    </row>
    <row r="877" spans="1:16" x14ac:dyDescent="0.3">
      <c r="A877" s="1" t="s">
        <v>1996</v>
      </c>
      <c r="B877" s="1" t="s">
        <v>14</v>
      </c>
      <c r="C877" s="1" t="s">
        <v>1997</v>
      </c>
      <c r="D877" s="1" t="s">
        <v>39</v>
      </c>
      <c r="E877" s="1" t="s">
        <v>862</v>
      </c>
      <c r="F877" s="1" t="s">
        <v>45</v>
      </c>
      <c r="G877" s="6">
        <v>42811</v>
      </c>
      <c r="H877" s="1">
        <v>2001</v>
      </c>
      <c r="I877" t="s">
        <v>89</v>
      </c>
      <c r="J877" s="1">
        <v>7</v>
      </c>
      <c r="K877" s="1" t="s">
        <v>20</v>
      </c>
      <c r="L877" s="1" t="s">
        <v>41</v>
      </c>
      <c r="M877" s="1">
        <v>9.6999999999999993</v>
      </c>
      <c r="N877" s="1">
        <v>47.29</v>
      </c>
      <c r="O877" s="1">
        <v>20785000</v>
      </c>
      <c r="P877" t="s">
        <v>2281</v>
      </c>
    </row>
    <row r="878" spans="1:16" hidden="1" x14ac:dyDescent="0.3">
      <c r="A878" s="1" t="s">
        <v>1998</v>
      </c>
      <c r="B878" s="1" t="s">
        <v>37</v>
      </c>
      <c r="C878" s="1" t="s">
        <v>1999</v>
      </c>
      <c r="D878" s="1" t="s">
        <v>24</v>
      </c>
      <c r="E878" s="1" t="s">
        <v>400</v>
      </c>
      <c r="F878" s="1" t="s">
        <v>18</v>
      </c>
      <c r="G878" s="6">
        <v>42480</v>
      </c>
      <c r="H878" s="1">
        <v>2016</v>
      </c>
      <c r="I878" t="s">
        <v>55</v>
      </c>
      <c r="J878" s="1">
        <v>99</v>
      </c>
      <c r="K878" s="1" t="s">
        <v>28</v>
      </c>
      <c r="L878" s="1" t="s">
        <v>46</v>
      </c>
      <c r="M878" s="1">
        <v>2.2999999999999998</v>
      </c>
      <c r="N878" s="1">
        <v>97.9</v>
      </c>
      <c r="O878" s="1">
        <v>11943000</v>
      </c>
      <c r="P878" t="s">
        <v>2282</v>
      </c>
    </row>
    <row r="879" spans="1:16" hidden="1" x14ac:dyDescent="0.3">
      <c r="A879" s="1" t="s">
        <v>2000</v>
      </c>
      <c r="B879" s="1" t="s">
        <v>37</v>
      </c>
      <c r="C879" s="1" t="s">
        <v>2001</v>
      </c>
      <c r="D879" s="1" t="s">
        <v>24</v>
      </c>
      <c r="E879" s="1" t="s">
        <v>80</v>
      </c>
      <c r="F879" s="1" t="s">
        <v>18</v>
      </c>
      <c r="G879" s="6">
        <v>44524</v>
      </c>
      <c r="H879" s="1">
        <v>2004</v>
      </c>
      <c r="I879" t="s">
        <v>77</v>
      </c>
      <c r="J879" s="1">
        <v>117</v>
      </c>
      <c r="K879" s="1" t="s">
        <v>28</v>
      </c>
      <c r="L879" s="1" t="s">
        <v>52</v>
      </c>
      <c r="M879" s="1">
        <v>8.6999999999999993</v>
      </c>
      <c r="N879" s="1">
        <v>141.41999999999999</v>
      </c>
      <c r="O879" s="1">
        <v>67558000</v>
      </c>
      <c r="P879" t="s">
        <v>2281</v>
      </c>
    </row>
    <row r="880" spans="1:16" hidden="1" x14ac:dyDescent="0.3">
      <c r="A880" s="1" t="s">
        <v>2002</v>
      </c>
      <c r="B880" s="1" t="s">
        <v>37</v>
      </c>
      <c r="C880" s="1" t="s">
        <v>2003</v>
      </c>
      <c r="D880" s="1" t="s">
        <v>24</v>
      </c>
      <c r="E880" s="1" t="s">
        <v>72</v>
      </c>
      <c r="F880" s="1" t="s">
        <v>26</v>
      </c>
      <c r="G880" s="6">
        <v>43971</v>
      </c>
      <c r="H880" s="1">
        <v>2012</v>
      </c>
      <c r="I880" t="s">
        <v>34</v>
      </c>
      <c r="J880" s="1">
        <v>100</v>
      </c>
      <c r="K880" s="1" t="s">
        <v>28</v>
      </c>
      <c r="L880" s="1" t="s">
        <v>69</v>
      </c>
      <c r="M880" s="1">
        <v>7.8</v>
      </c>
      <c r="N880" s="1">
        <v>15.52</v>
      </c>
      <c r="O880" s="1">
        <v>85458000</v>
      </c>
      <c r="P880" t="s">
        <v>2282</v>
      </c>
    </row>
    <row r="881" spans="1:16" x14ac:dyDescent="0.3">
      <c r="A881" s="1" t="s">
        <v>2004</v>
      </c>
      <c r="B881" s="1" t="s">
        <v>14</v>
      </c>
      <c r="C881" s="1" t="s">
        <v>2005</v>
      </c>
      <c r="D881" s="1" t="s">
        <v>39</v>
      </c>
      <c r="E881" s="1" t="s">
        <v>347</v>
      </c>
      <c r="F881" s="1" t="s">
        <v>59</v>
      </c>
      <c r="G881" s="6">
        <v>43322</v>
      </c>
      <c r="H881" s="1">
        <v>1995</v>
      </c>
      <c r="I881" t="s">
        <v>27</v>
      </c>
      <c r="J881" s="1">
        <v>10</v>
      </c>
      <c r="K881" s="1" t="s">
        <v>20</v>
      </c>
      <c r="L881" s="1" t="s">
        <v>52</v>
      </c>
      <c r="M881" s="1">
        <v>3.8</v>
      </c>
      <c r="N881" s="1">
        <v>30.11</v>
      </c>
      <c r="O881" s="1">
        <v>81306000</v>
      </c>
      <c r="P881" t="s">
        <v>2281</v>
      </c>
    </row>
    <row r="882" spans="1:16" x14ac:dyDescent="0.3">
      <c r="A882" s="1" t="s">
        <v>2006</v>
      </c>
      <c r="B882" s="1" t="s">
        <v>14</v>
      </c>
      <c r="C882" s="1" t="s">
        <v>2007</v>
      </c>
      <c r="D882" s="1" t="s">
        <v>24</v>
      </c>
      <c r="E882" s="1" t="s">
        <v>17</v>
      </c>
      <c r="F882" s="1" t="s">
        <v>33</v>
      </c>
      <c r="G882" s="6">
        <v>44834</v>
      </c>
      <c r="H882" s="1">
        <v>2021</v>
      </c>
      <c r="I882" t="s">
        <v>19</v>
      </c>
      <c r="J882" s="1">
        <v>9</v>
      </c>
      <c r="K882" s="1" t="s">
        <v>20</v>
      </c>
      <c r="L882" s="1" t="s">
        <v>35</v>
      </c>
      <c r="M882" s="1">
        <v>6.9</v>
      </c>
      <c r="N882" s="1">
        <v>9.49</v>
      </c>
      <c r="O882" s="1">
        <v>36749000</v>
      </c>
      <c r="P882" t="s">
        <v>2281</v>
      </c>
    </row>
    <row r="883" spans="1:16" hidden="1" x14ac:dyDescent="0.3">
      <c r="A883" s="1" t="s">
        <v>2008</v>
      </c>
      <c r="B883" s="1" t="s">
        <v>37</v>
      </c>
      <c r="C883" s="1" t="s">
        <v>2009</v>
      </c>
      <c r="D883" s="1" t="s">
        <v>24</v>
      </c>
      <c r="E883" s="1" t="s">
        <v>63</v>
      </c>
      <c r="F883" s="1" t="s">
        <v>158</v>
      </c>
      <c r="G883" s="6">
        <v>42401</v>
      </c>
      <c r="H883" s="1">
        <v>2017</v>
      </c>
      <c r="I883" t="s">
        <v>55</v>
      </c>
      <c r="J883" s="1">
        <v>114</v>
      </c>
      <c r="K883" s="1" t="s">
        <v>28</v>
      </c>
      <c r="L883" s="1" t="s">
        <v>35</v>
      </c>
      <c r="M883" s="1">
        <v>7.9</v>
      </c>
      <c r="N883" s="1">
        <v>31.95</v>
      </c>
      <c r="O883" s="1">
        <v>20612000</v>
      </c>
      <c r="P883" t="s">
        <v>2281</v>
      </c>
    </row>
    <row r="884" spans="1:16" x14ac:dyDescent="0.3">
      <c r="A884" s="1" t="s">
        <v>2010</v>
      </c>
      <c r="B884" s="1" t="s">
        <v>14</v>
      </c>
      <c r="C884" s="1" t="s">
        <v>2011</v>
      </c>
      <c r="D884" s="1" t="s">
        <v>62</v>
      </c>
      <c r="E884" s="1" t="s">
        <v>267</v>
      </c>
      <c r="F884" s="1" t="s">
        <v>76</v>
      </c>
      <c r="G884" s="6">
        <v>42177</v>
      </c>
      <c r="H884" s="1">
        <v>1999</v>
      </c>
      <c r="I884" t="s">
        <v>77</v>
      </c>
      <c r="J884" s="1">
        <v>10</v>
      </c>
      <c r="K884" s="1" t="s">
        <v>20</v>
      </c>
      <c r="L884" s="1" t="s">
        <v>21</v>
      </c>
      <c r="M884" s="1">
        <v>9.1</v>
      </c>
      <c r="N884" s="1">
        <v>29.69</v>
      </c>
      <c r="O884" s="1">
        <v>17423000</v>
      </c>
      <c r="P884" t="s">
        <v>2282</v>
      </c>
    </row>
    <row r="885" spans="1:16" hidden="1" x14ac:dyDescent="0.3">
      <c r="A885" s="1" t="s">
        <v>2012</v>
      </c>
      <c r="B885" s="1" t="s">
        <v>37</v>
      </c>
      <c r="C885" s="1" t="s">
        <v>2013</v>
      </c>
      <c r="D885" s="1" t="s">
        <v>39</v>
      </c>
      <c r="E885" s="1" t="s">
        <v>2014</v>
      </c>
      <c r="F885" s="1" t="s">
        <v>26</v>
      </c>
      <c r="G885" s="6">
        <v>42023</v>
      </c>
      <c r="H885" s="1">
        <v>1995</v>
      </c>
      <c r="I885" t="s">
        <v>77</v>
      </c>
      <c r="J885" s="1">
        <v>125</v>
      </c>
      <c r="K885" s="1" t="s">
        <v>28</v>
      </c>
      <c r="L885" s="1" t="s">
        <v>35</v>
      </c>
      <c r="M885" s="1">
        <v>7.2</v>
      </c>
      <c r="N885" s="1">
        <v>26.9</v>
      </c>
      <c r="O885" s="1">
        <v>64311000</v>
      </c>
      <c r="P885" t="s">
        <v>2281</v>
      </c>
    </row>
    <row r="886" spans="1:16" x14ac:dyDescent="0.3">
      <c r="A886" s="1" t="s">
        <v>2015</v>
      </c>
      <c r="B886" s="1" t="s">
        <v>14</v>
      </c>
      <c r="C886" s="1" t="s">
        <v>2016</v>
      </c>
      <c r="D886" s="1" t="s">
        <v>72</v>
      </c>
      <c r="E886" s="1" t="s">
        <v>130</v>
      </c>
      <c r="F886" s="1" t="s">
        <v>76</v>
      </c>
      <c r="G886" s="6">
        <v>43398</v>
      </c>
      <c r="H886" s="1">
        <v>2022</v>
      </c>
      <c r="I886" t="s">
        <v>77</v>
      </c>
      <c r="J886" s="1">
        <v>5</v>
      </c>
      <c r="K886" s="1" t="s">
        <v>20</v>
      </c>
      <c r="L886" s="1" t="s">
        <v>46</v>
      </c>
      <c r="M886" s="1">
        <v>9</v>
      </c>
      <c r="N886" s="1">
        <v>22.57</v>
      </c>
      <c r="O886" s="1">
        <v>74667000</v>
      </c>
      <c r="P886" t="s">
        <v>2281</v>
      </c>
    </row>
    <row r="887" spans="1:16" hidden="1" x14ac:dyDescent="0.3">
      <c r="A887" s="1" t="s">
        <v>2017</v>
      </c>
      <c r="B887" s="1" t="s">
        <v>37</v>
      </c>
      <c r="C887" s="1" t="s">
        <v>2018</v>
      </c>
      <c r="D887" s="1" t="s">
        <v>24</v>
      </c>
      <c r="E887" s="1" t="s">
        <v>75</v>
      </c>
      <c r="F887" s="1" t="s">
        <v>45</v>
      </c>
      <c r="G887" s="6">
        <v>42709</v>
      </c>
      <c r="H887" s="1">
        <v>2000</v>
      </c>
      <c r="I887" t="s">
        <v>89</v>
      </c>
      <c r="J887" s="1">
        <v>164</v>
      </c>
      <c r="K887" s="1" t="s">
        <v>28</v>
      </c>
      <c r="L887" s="1" t="s">
        <v>41</v>
      </c>
      <c r="M887" s="1">
        <v>2.6</v>
      </c>
      <c r="N887" s="1">
        <v>113.72</v>
      </c>
      <c r="O887" s="1">
        <v>88323000</v>
      </c>
      <c r="P887" t="s">
        <v>2282</v>
      </c>
    </row>
    <row r="888" spans="1:16" hidden="1" x14ac:dyDescent="0.3">
      <c r="A888" s="1" t="s">
        <v>2019</v>
      </c>
      <c r="B888" s="1" t="s">
        <v>37</v>
      </c>
      <c r="C888" s="1" t="s">
        <v>2020</v>
      </c>
      <c r="D888" s="1" t="s">
        <v>24</v>
      </c>
      <c r="E888" s="1" t="s">
        <v>138</v>
      </c>
      <c r="F888" s="1" t="s">
        <v>51</v>
      </c>
      <c r="G888" s="6">
        <v>43692</v>
      </c>
      <c r="H888" s="1">
        <v>2004</v>
      </c>
      <c r="I888" t="s">
        <v>27</v>
      </c>
      <c r="J888" s="1">
        <v>122</v>
      </c>
      <c r="K888" s="1" t="s">
        <v>28</v>
      </c>
      <c r="L888" s="1" t="s">
        <v>41</v>
      </c>
      <c r="M888" s="1">
        <v>4</v>
      </c>
      <c r="N888" s="1">
        <v>47.37</v>
      </c>
      <c r="O888" s="1">
        <v>96720000</v>
      </c>
      <c r="P888" t="s">
        <v>2281</v>
      </c>
    </row>
    <row r="889" spans="1:16" x14ac:dyDescent="0.3">
      <c r="A889" s="1" t="s">
        <v>2021</v>
      </c>
      <c r="B889" s="1" t="s">
        <v>14</v>
      </c>
      <c r="C889" s="1" t="s">
        <v>2022</v>
      </c>
      <c r="D889" s="1" t="s">
        <v>72</v>
      </c>
      <c r="E889" s="1" t="s">
        <v>270</v>
      </c>
      <c r="F889" s="1" t="s">
        <v>51</v>
      </c>
      <c r="G889" s="6">
        <v>43674</v>
      </c>
      <c r="H889" s="1">
        <v>2012</v>
      </c>
      <c r="I889" t="s">
        <v>34</v>
      </c>
      <c r="J889" s="1">
        <v>5</v>
      </c>
      <c r="K889" s="1" t="s">
        <v>20</v>
      </c>
      <c r="L889" s="1" t="s">
        <v>21</v>
      </c>
      <c r="M889" s="1">
        <v>1.1000000000000001</v>
      </c>
      <c r="N889" s="1">
        <v>67.92</v>
      </c>
      <c r="O889" s="1">
        <v>81561000</v>
      </c>
      <c r="P889" t="s">
        <v>2281</v>
      </c>
    </row>
    <row r="890" spans="1:16" hidden="1" x14ac:dyDescent="0.3">
      <c r="A890" s="1" t="s">
        <v>2023</v>
      </c>
      <c r="B890" s="1" t="s">
        <v>37</v>
      </c>
      <c r="C890" s="1" t="s">
        <v>2024</v>
      </c>
      <c r="D890" s="1" t="s">
        <v>31</v>
      </c>
      <c r="E890" s="1" t="s">
        <v>267</v>
      </c>
      <c r="F890" s="1" t="s">
        <v>45</v>
      </c>
      <c r="G890" s="6">
        <v>44121</v>
      </c>
      <c r="H890" s="1">
        <v>2019</v>
      </c>
      <c r="I890" t="s">
        <v>55</v>
      </c>
      <c r="J890" s="1">
        <v>101</v>
      </c>
      <c r="K890" s="1" t="s">
        <v>28</v>
      </c>
      <c r="L890" s="1" t="s">
        <v>46</v>
      </c>
      <c r="M890" s="1">
        <v>4.5</v>
      </c>
      <c r="N890" s="1">
        <v>32.17</v>
      </c>
      <c r="O890" s="1">
        <v>40831000</v>
      </c>
      <c r="P890" t="s">
        <v>2281</v>
      </c>
    </row>
    <row r="891" spans="1:16" hidden="1" x14ac:dyDescent="0.3">
      <c r="A891" s="1" t="s">
        <v>2025</v>
      </c>
      <c r="B891" s="1" t="s">
        <v>37</v>
      </c>
      <c r="C891" s="1" t="s">
        <v>2026</v>
      </c>
      <c r="D891" s="1" t="s">
        <v>72</v>
      </c>
      <c r="E891" s="1" t="s">
        <v>2027</v>
      </c>
      <c r="F891" s="1" t="s">
        <v>51</v>
      </c>
      <c r="G891" s="6">
        <v>43920</v>
      </c>
      <c r="H891" s="1">
        <v>2012</v>
      </c>
      <c r="I891" t="s">
        <v>89</v>
      </c>
      <c r="J891" s="1">
        <v>62</v>
      </c>
      <c r="K891" s="1" t="s">
        <v>28</v>
      </c>
      <c r="L891" s="1" t="s">
        <v>35</v>
      </c>
      <c r="M891" s="1">
        <v>7.4</v>
      </c>
      <c r="N891" s="1">
        <v>37.049999999999997</v>
      </c>
      <c r="O891" s="1">
        <v>46961000</v>
      </c>
      <c r="P891" t="s">
        <v>2282</v>
      </c>
    </row>
    <row r="892" spans="1:16" hidden="1" x14ac:dyDescent="0.3">
      <c r="A892" s="1" t="s">
        <v>2028</v>
      </c>
      <c r="B892" s="1" t="s">
        <v>37</v>
      </c>
      <c r="C892" s="1" t="s">
        <v>2029</v>
      </c>
      <c r="D892" s="1" t="s">
        <v>62</v>
      </c>
      <c r="E892" s="1" t="s">
        <v>414</v>
      </c>
      <c r="F892" s="1" t="s">
        <v>59</v>
      </c>
      <c r="G892" s="6">
        <v>45169</v>
      </c>
      <c r="H892" s="1">
        <v>2011</v>
      </c>
      <c r="I892" t="s">
        <v>27</v>
      </c>
      <c r="J892" s="1">
        <v>179</v>
      </c>
      <c r="K892" s="1" t="s">
        <v>28</v>
      </c>
      <c r="L892" s="1" t="s">
        <v>52</v>
      </c>
      <c r="M892" s="1">
        <v>1.6</v>
      </c>
      <c r="N892" s="1">
        <v>141.27000000000001</v>
      </c>
      <c r="O892" s="1">
        <v>83388000</v>
      </c>
      <c r="P892" t="s">
        <v>2282</v>
      </c>
    </row>
    <row r="893" spans="1:16" x14ac:dyDescent="0.3">
      <c r="A893" s="1" t="s">
        <v>2030</v>
      </c>
      <c r="B893" s="1" t="s">
        <v>14</v>
      </c>
      <c r="C893" s="1" t="s">
        <v>2031</v>
      </c>
      <c r="D893" s="1" t="s">
        <v>31</v>
      </c>
      <c r="E893" s="1" t="s">
        <v>63</v>
      </c>
      <c r="F893" s="1" t="s">
        <v>51</v>
      </c>
      <c r="G893" s="6">
        <v>45047</v>
      </c>
      <c r="H893" s="1">
        <v>2005</v>
      </c>
      <c r="I893" t="s">
        <v>19</v>
      </c>
      <c r="J893" s="1">
        <v>5</v>
      </c>
      <c r="K893" s="1" t="s">
        <v>20</v>
      </c>
      <c r="L893" s="1" t="s">
        <v>52</v>
      </c>
      <c r="M893" s="1">
        <v>8</v>
      </c>
      <c r="N893" s="1">
        <v>43.67</v>
      </c>
      <c r="O893" s="1">
        <v>18689000</v>
      </c>
      <c r="P893" t="s">
        <v>2282</v>
      </c>
    </row>
    <row r="894" spans="1:16" x14ac:dyDescent="0.3">
      <c r="A894" s="1" t="s">
        <v>2032</v>
      </c>
      <c r="B894" s="1" t="s">
        <v>14</v>
      </c>
      <c r="C894" s="1" t="s">
        <v>2033</v>
      </c>
      <c r="D894" s="1" t="s">
        <v>72</v>
      </c>
      <c r="E894" s="1" t="s">
        <v>72</v>
      </c>
      <c r="F894" s="1" t="s">
        <v>26</v>
      </c>
      <c r="G894" s="6">
        <v>43910</v>
      </c>
      <c r="H894" s="1">
        <v>1994</v>
      </c>
      <c r="I894" t="s">
        <v>77</v>
      </c>
      <c r="J894" s="1">
        <v>9</v>
      </c>
      <c r="K894" s="1" t="s">
        <v>20</v>
      </c>
      <c r="L894" s="1" t="s">
        <v>69</v>
      </c>
      <c r="M894" s="1">
        <v>3.9</v>
      </c>
      <c r="N894" s="1">
        <v>132.96</v>
      </c>
      <c r="O894" s="1">
        <v>25894000</v>
      </c>
      <c r="P894" t="s">
        <v>2281</v>
      </c>
    </row>
    <row r="895" spans="1:16" x14ac:dyDescent="0.3">
      <c r="A895" s="1" t="s">
        <v>2034</v>
      </c>
      <c r="B895" s="1" t="s">
        <v>14</v>
      </c>
      <c r="C895" s="1" t="s">
        <v>2035</v>
      </c>
      <c r="D895" s="1" t="s">
        <v>49</v>
      </c>
      <c r="E895" s="1" t="s">
        <v>1397</v>
      </c>
      <c r="F895" s="1" t="s">
        <v>45</v>
      </c>
      <c r="G895" s="6">
        <v>42871</v>
      </c>
      <c r="H895" s="1">
        <v>2014</v>
      </c>
      <c r="I895" t="s">
        <v>89</v>
      </c>
      <c r="J895" s="1">
        <v>7</v>
      </c>
      <c r="K895" s="1" t="s">
        <v>20</v>
      </c>
      <c r="L895" s="1" t="s">
        <v>41</v>
      </c>
      <c r="M895" s="1">
        <v>4.5999999999999996</v>
      </c>
      <c r="N895" s="1">
        <v>20.91</v>
      </c>
      <c r="O895" s="1">
        <v>5437000</v>
      </c>
      <c r="P895" t="s">
        <v>2281</v>
      </c>
    </row>
    <row r="896" spans="1:16" x14ac:dyDescent="0.3">
      <c r="A896" s="1" t="s">
        <v>2036</v>
      </c>
      <c r="B896" s="1" t="s">
        <v>14</v>
      </c>
      <c r="C896" s="1" t="s">
        <v>2037</v>
      </c>
      <c r="D896" s="1" t="s">
        <v>72</v>
      </c>
      <c r="E896" s="1" t="s">
        <v>66</v>
      </c>
      <c r="F896" s="1" t="s">
        <v>76</v>
      </c>
      <c r="G896" s="6">
        <v>43092</v>
      </c>
      <c r="H896" s="1">
        <v>2009</v>
      </c>
      <c r="I896" t="s">
        <v>77</v>
      </c>
      <c r="J896" s="1">
        <v>1</v>
      </c>
      <c r="K896" s="1" t="s">
        <v>20</v>
      </c>
      <c r="L896" s="1" t="s">
        <v>41</v>
      </c>
      <c r="M896" s="1">
        <v>3.2</v>
      </c>
      <c r="N896" s="1">
        <v>112.98</v>
      </c>
      <c r="O896" s="1">
        <v>42563000</v>
      </c>
      <c r="P896" t="s">
        <v>2282</v>
      </c>
    </row>
    <row r="897" spans="1:16" hidden="1" x14ac:dyDescent="0.3">
      <c r="A897" s="1" t="s">
        <v>2038</v>
      </c>
      <c r="B897" s="1" t="s">
        <v>37</v>
      </c>
      <c r="C897" s="1" t="s">
        <v>2039</v>
      </c>
      <c r="D897" s="1" t="s">
        <v>62</v>
      </c>
      <c r="E897" s="1" t="s">
        <v>400</v>
      </c>
      <c r="F897" s="1" t="s">
        <v>51</v>
      </c>
      <c r="G897" s="6">
        <v>43189</v>
      </c>
      <c r="H897" s="1">
        <v>2011</v>
      </c>
      <c r="I897" t="s">
        <v>89</v>
      </c>
      <c r="J897" s="1">
        <v>121</v>
      </c>
      <c r="K897" s="1" t="s">
        <v>28</v>
      </c>
      <c r="L897" s="1" t="s">
        <v>35</v>
      </c>
      <c r="M897" s="1">
        <v>9.6999999999999993</v>
      </c>
      <c r="N897" s="1">
        <v>36.520000000000003</v>
      </c>
      <c r="O897" s="1">
        <v>98434000</v>
      </c>
      <c r="P897" t="s">
        <v>2281</v>
      </c>
    </row>
    <row r="898" spans="1:16" hidden="1" x14ac:dyDescent="0.3">
      <c r="A898" s="1" t="s">
        <v>2040</v>
      </c>
      <c r="B898" s="1" t="s">
        <v>37</v>
      </c>
      <c r="C898" s="1" t="s">
        <v>2041</v>
      </c>
      <c r="D898" s="1" t="s">
        <v>72</v>
      </c>
      <c r="E898" s="1" t="s">
        <v>843</v>
      </c>
      <c r="F898" s="1" t="s">
        <v>76</v>
      </c>
      <c r="G898" s="6">
        <v>44032</v>
      </c>
      <c r="H898" s="1">
        <v>1991</v>
      </c>
      <c r="I898" t="s">
        <v>34</v>
      </c>
      <c r="J898" s="1">
        <v>157</v>
      </c>
      <c r="K898" s="1" t="s">
        <v>28</v>
      </c>
      <c r="L898" s="1" t="s">
        <v>52</v>
      </c>
      <c r="M898" s="1">
        <v>8</v>
      </c>
      <c r="N898" s="1">
        <v>45.02</v>
      </c>
      <c r="O898" s="1">
        <v>5594000</v>
      </c>
      <c r="P898" t="s">
        <v>2282</v>
      </c>
    </row>
    <row r="899" spans="1:16" x14ac:dyDescent="0.3">
      <c r="A899" s="1" t="s">
        <v>2042</v>
      </c>
      <c r="B899" s="1" t="s">
        <v>14</v>
      </c>
      <c r="C899" s="1" t="s">
        <v>2043</v>
      </c>
      <c r="D899" s="1" t="s">
        <v>72</v>
      </c>
      <c r="E899" s="1" t="s">
        <v>95</v>
      </c>
      <c r="F899" s="1" t="s">
        <v>18</v>
      </c>
      <c r="G899" s="6">
        <v>45013</v>
      </c>
      <c r="H899" s="1">
        <v>1997</v>
      </c>
      <c r="I899" t="s">
        <v>19</v>
      </c>
      <c r="J899" s="1">
        <v>2</v>
      </c>
      <c r="K899" s="1" t="s">
        <v>20</v>
      </c>
      <c r="L899" s="1" t="s">
        <v>41</v>
      </c>
      <c r="M899" s="1">
        <v>6.9</v>
      </c>
      <c r="N899" s="1">
        <v>107.78</v>
      </c>
      <c r="O899" s="1">
        <v>36386000</v>
      </c>
      <c r="P899" t="s">
        <v>2282</v>
      </c>
    </row>
    <row r="900" spans="1:16" x14ac:dyDescent="0.3">
      <c r="A900" s="1" t="s">
        <v>2044</v>
      </c>
      <c r="B900" s="1" t="s">
        <v>14</v>
      </c>
      <c r="C900" s="1" t="s">
        <v>2045</v>
      </c>
      <c r="D900" s="1" t="s">
        <v>24</v>
      </c>
      <c r="E900" s="1" t="s">
        <v>75</v>
      </c>
      <c r="F900" s="1" t="s">
        <v>158</v>
      </c>
      <c r="G900" s="6">
        <v>44714</v>
      </c>
      <c r="H900" s="1">
        <v>2014</v>
      </c>
      <c r="I900" t="s">
        <v>55</v>
      </c>
      <c r="J900" s="1">
        <v>3</v>
      </c>
      <c r="K900" s="1" t="s">
        <v>20</v>
      </c>
      <c r="L900" s="1" t="s">
        <v>41</v>
      </c>
      <c r="M900" s="1">
        <v>2.8</v>
      </c>
      <c r="N900" s="1">
        <v>137.34</v>
      </c>
      <c r="O900" s="1">
        <v>89198000</v>
      </c>
      <c r="P900" t="s">
        <v>2282</v>
      </c>
    </row>
    <row r="901" spans="1:16" x14ac:dyDescent="0.3">
      <c r="A901" s="1" t="s">
        <v>2046</v>
      </c>
      <c r="B901" s="1" t="s">
        <v>14</v>
      </c>
      <c r="C901" s="1" t="s">
        <v>2047</v>
      </c>
      <c r="D901" s="1" t="s">
        <v>31</v>
      </c>
      <c r="E901" s="1" t="s">
        <v>1344</v>
      </c>
      <c r="F901" s="1" t="s">
        <v>45</v>
      </c>
      <c r="G901" s="6">
        <v>44863</v>
      </c>
      <c r="H901" s="1">
        <v>1996</v>
      </c>
      <c r="I901" t="s">
        <v>89</v>
      </c>
      <c r="J901" s="1">
        <v>2</v>
      </c>
      <c r="K901" s="1" t="s">
        <v>20</v>
      </c>
      <c r="L901" s="1" t="s">
        <v>52</v>
      </c>
      <c r="M901" s="1">
        <v>2.8</v>
      </c>
      <c r="N901" s="1">
        <v>0.86</v>
      </c>
      <c r="O901" s="1">
        <v>16646000</v>
      </c>
      <c r="P901" t="s">
        <v>2281</v>
      </c>
    </row>
    <row r="902" spans="1:16" hidden="1" x14ac:dyDescent="0.3">
      <c r="A902" s="1" t="s">
        <v>2048</v>
      </c>
      <c r="B902" s="1" t="s">
        <v>37</v>
      </c>
      <c r="C902" s="1" t="s">
        <v>2049</v>
      </c>
      <c r="D902" s="1" t="s">
        <v>62</v>
      </c>
      <c r="E902" s="1" t="s">
        <v>607</v>
      </c>
      <c r="F902" s="1" t="s">
        <v>45</v>
      </c>
      <c r="G902" s="6">
        <v>44010</v>
      </c>
      <c r="H902" s="1">
        <v>1992</v>
      </c>
      <c r="I902" t="s">
        <v>34</v>
      </c>
      <c r="J902" s="1">
        <v>124</v>
      </c>
      <c r="K902" s="1" t="s">
        <v>28</v>
      </c>
      <c r="L902" s="1" t="s">
        <v>46</v>
      </c>
      <c r="M902" s="1">
        <v>5.3</v>
      </c>
      <c r="N902" s="1">
        <v>31.24</v>
      </c>
      <c r="O902" s="1">
        <v>69123000</v>
      </c>
      <c r="P902" t="s">
        <v>2281</v>
      </c>
    </row>
    <row r="903" spans="1:16" hidden="1" x14ac:dyDescent="0.3">
      <c r="A903" s="1" t="s">
        <v>2050</v>
      </c>
      <c r="B903" s="1" t="s">
        <v>37</v>
      </c>
      <c r="C903" s="1" t="s">
        <v>2051</v>
      </c>
      <c r="D903" s="1" t="s">
        <v>31</v>
      </c>
      <c r="E903" s="1" t="s">
        <v>40</v>
      </c>
      <c r="F903" s="1" t="s">
        <v>59</v>
      </c>
      <c r="G903" s="6">
        <v>43878</v>
      </c>
      <c r="H903" s="1">
        <v>1999</v>
      </c>
      <c r="I903" t="s">
        <v>34</v>
      </c>
      <c r="J903" s="1">
        <v>109</v>
      </c>
      <c r="K903" s="1" t="s">
        <v>28</v>
      </c>
      <c r="L903" s="1" t="s">
        <v>35</v>
      </c>
      <c r="M903" s="1">
        <v>3.9</v>
      </c>
      <c r="N903" s="1">
        <v>48.75</v>
      </c>
      <c r="O903" s="1">
        <v>11491000</v>
      </c>
      <c r="P903" t="s">
        <v>2281</v>
      </c>
    </row>
    <row r="904" spans="1:16" hidden="1" x14ac:dyDescent="0.3">
      <c r="A904" s="1" t="s">
        <v>2052</v>
      </c>
      <c r="B904" s="1" t="s">
        <v>37</v>
      </c>
      <c r="C904" s="1" t="s">
        <v>2053</v>
      </c>
      <c r="D904" s="1" t="s">
        <v>16</v>
      </c>
      <c r="E904" s="1" t="s">
        <v>17</v>
      </c>
      <c r="F904" s="1" t="s">
        <v>76</v>
      </c>
      <c r="G904" s="6">
        <v>44965</v>
      </c>
      <c r="H904" s="1">
        <v>2006</v>
      </c>
      <c r="I904" t="s">
        <v>77</v>
      </c>
      <c r="J904" s="1">
        <v>168</v>
      </c>
      <c r="K904" s="1" t="s">
        <v>28</v>
      </c>
      <c r="L904" s="1" t="s">
        <v>69</v>
      </c>
      <c r="M904" s="1">
        <v>3.3</v>
      </c>
      <c r="N904" s="1">
        <v>115.35</v>
      </c>
      <c r="O904" s="1">
        <v>92793000</v>
      </c>
      <c r="P904" t="s">
        <v>2281</v>
      </c>
    </row>
    <row r="905" spans="1:16" x14ac:dyDescent="0.3">
      <c r="A905" s="1" t="s">
        <v>2054</v>
      </c>
      <c r="B905" s="1" t="s">
        <v>14</v>
      </c>
      <c r="C905" s="1" t="s">
        <v>2055</v>
      </c>
      <c r="D905" s="1" t="s">
        <v>24</v>
      </c>
      <c r="E905" s="1" t="s">
        <v>58</v>
      </c>
      <c r="F905" s="1" t="s">
        <v>45</v>
      </c>
      <c r="G905" s="6">
        <v>43398</v>
      </c>
      <c r="H905" s="1">
        <v>1996</v>
      </c>
      <c r="I905" t="s">
        <v>89</v>
      </c>
      <c r="J905" s="1">
        <v>7</v>
      </c>
      <c r="K905" s="1" t="s">
        <v>20</v>
      </c>
      <c r="L905" s="1" t="s">
        <v>69</v>
      </c>
      <c r="M905" s="1">
        <v>8.6</v>
      </c>
      <c r="N905" s="1">
        <v>33.25</v>
      </c>
      <c r="O905" s="1">
        <v>19278000</v>
      </c>
      <c r="P905" t="s">
        <v>2282</v>
      </c>
    </row>
    <row r="906" spans="1:16" hidden="1" x14ac:dyDescent="0.3">
      <c r="A906" s="1" t="s">
        <v>2056</v>
      </c>
      <c r="B906" s="1" t="s">
        <v>37</v>
      </c>
      <c r="C906" s="1" t="s">
        <v>2057</v>
      </c>
      <c r="D906" s="1" t="s">
        <v>49</v>
      </c>
      <c r="E906" s="1" t="s">
        <v>63</v>
      </c>
      <c r="F906" s="1" t="s">
        <v>18</v>
      </c>
      <c r="G906" s="6">
        <v>44683</v>
      </c>
      <c r="H906" s="1">
        <v>2019</v>
      </c>
      <c r="I906" t="s">
        <v>55</v>
      </c>
      <c r="J906" s="1">
        <v>168</v>
      </c>
      <c r="K906" s="1" t="s">
        <v>28</v>
      </c>
      <c r="L906" s="1" t="s">
        <v>52</v>
      </c>
      <c r="M906" s="1">
        <v>7.1</v>
      </c>
      <c r="N906" s="1">
        <v>65.58</v>
      </c>
      <c r="O906" s="1">
        <v>23160000</v>
      </c>
      <c r="P906" t="s">
        <v>2281</v>
      </c>
    </row>
    <row r="907" spans="1:16" hidden="1" x14ac:dyDescent="0.3">
      <c r="A907" s="1" t="s">
        <v>2058</v>
      </c>
      <c r="B907" s="1" t="s">
        <v>37</v>
      </c>
      <c r="C907" s="1" t="s">
        <v>2059</v>
      </c>
      <c r="D907" s="1" t="s">
        <v>39</v>
      </c>
      <c r="E907" s="1" t="s">
        <v>50</v>
      </c>
      <c r="F907" s="1" t="s">
        <v>45</v>
      </c>
      <c r="G907" s="6">
        <v>45247</v>
      </c>
      <c r="H907" s="1">
        <v>2002</v>
      </c>
      <c r="I907" t="s">
        <v>55</v>
      </c>
      <c r="J907" s="1">
        <v>150</v>
      </c>
      <c r="K907" s="1" t="s">
        <v>28</v>
      </c>
      <c r="L907" s="1" t="s">
        <v>52</v>
      </c>
      <c r="M907" s="1">
        <v>9.4</v>
      </c>
      <c r="N907" s="1">
        <v>31.9</v>
      </c>
      <c r="O907" s="1">
        <v>41284000</v>
      </c>
      <c r="P907" t="s">
        <v>2281</v>
      </c>
    </row>
    <row r="908" spans="1:16" x14ac:dyDescent="0.3">
      <c r="A908" s="1" t="s">
        <v>2060</v>
      </c>
      <c r="B908" s="1" t="s">
        <v>14</v>
      </c>
      <c r="C908" s="1" t="s">
        <v>2061</v>
      </c>
      <c r="D908" s="1" t="s">
        <v>31</v>
      </c>
      <c r="E908" s="1" t="s">
        <v>258</v>
      </c>
      <c r="F908" s="1" t="s">
        <v>158</v>
      </c>
      <c r="G908" s="6">
        <v>43017</v>
      </c>
      <c r="H908" s="1">
        <v>2021</v>
      </c>
      <c r="I908" t="s">
        <v>89</v>
      </c>
      <c r="J908" s="1">
        <v>5</v>
      </c>
      <c r="K908" s="1" t="s">
        <v>20</v>
      </c>
      <c r="L908" s="1" t="s">
        <v>41</v>
      </c>
      <c r="M908" s="1">
        <v>6.4</v>
      </c>
      <c r="N908" s="1">
        <v>33.840000000000003</v>
      </c>
      <c r="O908" s="1">
        <v>86128000</v>
      </c>
      <c r="P908" t="s">
        <v>2281</v>
      </c>
    </row>
    <row r="909" spans="1:16" hidden="1" x14ac:dyDescent="0.3">
      <c r="A909" s="1" t="s">
        <v>2062</v>
      </c>
      <c r="B909" s="1" t="s">
        <v>37</v>
      </c>
      <c r="C909" s="1" t="s">
        <v>2063</v>
      </c>
      <c r="D909" s="1" t="s">
        <v>24</v>
      </c>
      <c r="E909" s="1" t="s">
        <v>1397</v>
      </c>
      <c r="F909" s="1" t="s">
        <v>18</v>
      </c>
      <c r="G909" s="6">
        <v>44570</v>
      </c>
      <c r="H909" s="1">
        <v>1992</v>
      </c>
      <c r="I909" t="s">
        <v>27</v>
      </c>
      <c r="J909" s="1">
        <v>88</v>
      </c>
      <c r="K909" s="1" t="s">
        <v>28</v>
      </c>
      <c r="L909" s="1" t="s">
        <v>35</v>
      </c>
      <c r="M909" s="1">
        <v>3.7</v>
      </c>
      <c r="N909" s="1">
        <v>73.55</v>
      </c>
      <c r="O909" s="1">
        <v>41341000</v>
      </c>
      <c r="P909" t="s">
        <v>2281</v>
      </c>
    </row>
    <row r="910" spans="1:16" x14ac:dyDescent="0.3">
      <c r="A910" s="1" t="s">
        <v>2064</v>
      </c>
      <c r="B910" s="1" t="s">
        <v>14</v>
      </c>
      <c r="C910" s="1" t="s">
        <v>2065</v>
      </c>
      <c r="D910" s="1" t="s">
        <v>72</v>
      </c>
      <c r="E910" s="1" t="s">
        <v>75</v>
      </c>
      <c r="F910" s="1" t="s">
        <v>51</v>
      </c>
      <c r="G910" s="6">
        <v>42115</v>
      </c>
      <c r="H910" s="1">
        <v>2011</v>
      </c>
      <c r="I910" t="s">
        <v>27</v>
      </c>
      <c r="J910" s="1">
        <v>1</v>
      </c>
      <c r="K910" s="1" t="s">
        <v>20</v>
      </c>
      <c r="L910" s="1" t="s">
        <v>35</v>
      </c>
      <c r="M910" s="1">
        <v>5.9</v>
      </c>
      <c r="N910" s="1">
        <v>63.72</v>
      </c>
      <c r="O910" s="1">
        <v>69691000</v>
      </c>
      <c r="P910" t="s">
        <v>2281</v>
      </c>
    </row>
    <row r="911" spans="1:16" hidden="1" x14ac:dyDescent="0.3">
      <c r="A911" s="1" t="s">
        <v>2066</v>
      </c>
      <c r="B911" s="1" t="s">
        <v>37</v>
      </c>
      <c r="C911" s="1" t="s">
        <v>2067</v>
      </c>
      <c r="D911" s="1" t="s">
        <v>16</v>
      </c>
      <c r="E911" s="1" t="s">
        <v>1472</v>
      </c>
      <c r="F911" s="1" t="s">
        <v>51</v>
      </c>
      <c r="G911" s="6">
        <v>43849</v>
      </c>
      <c r="H911" s="1">
        <v>2015</v>
      </c>
      <c r="I911" t="s">
        <v>77</v>
      </c>
      <c r="J911" s="1">
        <v>135</v>
      </c>
      <c r="K911" s="1" t="s">
        <v>28</v>
      </c>
      <c r="L911" s="1" t="s">
        <v>69</v>
      </c>
      <c r="M911" s="1">
        <v>8.1</v>
      </c>
      <c r="N911" s="1">
        <v>90.47</v>
      </c>
      <c r="O911" s="1">
        <v>57520000</v>
      </c>
      <c r="P911" t="s">
        <v>2281</v>
      </c>
    </row>
    <row r="912" spans="1:16" x14ac:dyDescent="0.3">
      <c r="A912" s="1" t="s">
        <v>2068</v>
      </c>
      <c r="B912" s="1" t="s">
        <v>14</v>
      </c>
      <c r="C912" s="1" t="s">
        <v>2069</v>
      </c>
      <c r="D912" s="1" t="s">
        <v>39</v>
      </c>
      <c r="E912" s="1" t="s">
        <v>2027</v>
      </c>
      <c r="F912" s="1" t="s">
        <v>45</v>
      </c>
      <c r="G912" s="6">
        <v>44862</v>
      </c>
      <c r="H912" s="1">
        <v>2009</v>
      </c>
      <c r="I912" t="s">
        <v>34</v>
      </c>
      <c r="J912" s="1">
        <v>5</v>
      </c>
      <c r="K912" s="1" t="s">
        <v>20</v>
      </c>
      <c r="L912" s="1" t="s">
        <v>35</v>
      </c>
      <c r="M912" s="1">
        <v>9.1</v>
      </c>
      <c r="N912" s="1">
        <v>75.94</v>
      </c>
      <c r="O912" s="1">
        <v>73715000</v>
      </c>
      <c r="P912" t="s">
        <v>2281</v>
      </c>
    </row>
    <row r="913" spans="1:16" x14ac:dyDescent="0.3">
      <c r="A913" s="1" t="s">
        <v>2070</v>
      </c>
      <c r="B913" s="1" t="s">
        <v>14</v>
      </c>
      <c r="C913" s="1" t="s">
        <v>2071</v>
      </c>
      <c r="D913" s="1" t="s">
        <v>24</v>
      </c>
      <c r="E913" s="1" t="s">
        <v>138</v>
      </c>
      <c r="F913" s="1" t="s">
        <v>26</v>
      </c>
      <c r="G913" s="6">
        <v>43793</v>
      </c>
      <c r="H913" s="1">
        <v>2004</v>
      </c>
      <c r="I913" t="s">
        <v>34</v>
      </c>
      <c r="J913" s="1">
        <v>7</v>
      </c>
      <c r="K913" s="1" t="s">
        <v>20</v>
      </c>
      <c r="L913" s="1" t="s">
        <v>35</v>
      </c>
      <c r="M913" s="1">
        <v>2.8</v>
      </c>
      <c r="N913" s="1">
        <v>9.02</v>
      </c>
      <c r="O913" s="1">
        <v>5610000</v>
      </c>
      <c r="P913" t="s">
        <v>2281</v>
      </c>
    </row>
    <row r="914" spans="1:16" hidden="1" x14ac:dyDescent="0.3">
      <c r="A914" s="1" t="s">
        <v>2072</v>
      </c>
      <c r="B914" s="1" t="s">
        <v>37</v>
      </c>
      <c r="C914" s="1" t="s">
        <v>2073</v>
      </c>
      <c r="D914" s="1" t="s">
        <v>39</v>
      </c>
      <c r="E914" s="1" t="s">
        <v>58</v>
      </c>
      <c r="F914" s="1" t="s">
        <v>158</v>
      </c>
      <c r="G914" s="6">
        <v>44988</v>
      </c>
      <c r="H914" s="1">
        <v>2011</v>
      </c>
      <c r="I914" t="s">
        <v>34</v>
      </c>
      <c r="J914" s="1">
        <v>130</v>
      </c>
      <c r="K914" s="1" t="s">
        <v>28</v>
      </c>
      <c r="L914" s="1" t="s">
        <v>69</v>
      </c>
      <c r="M914" s="1">
        <v>2.5</v>
      </c>
      <c r="N914" s="1">
        <v>112.11</v>
      </c>
      <c r="O914" s="1">
        <v>91586000</v>
      </c>
      <c r="P914" t="s">
        <v>2282</v>
      </c>
    </row>
    <row r="915" spans="1:16" hidden="1" x14ac:dyDescent="0.3">
      <c r="A915" s="1" t="s">
        <v>2074</v>
      </c>
      <c r="B915" s="1" t="s">
        <v>37</v>
      </c>
      <c r="C915" s="1" t="s">
        <v>2075</v>
      </c>
      <c r="D915" s="1" t="s">
        <v>39</v>
      </c>
      <c r="E915" s="1" t="s">
        <v>267</v>
      </c>
      <c r="F915" s="1" t="s">
        <v>26</v>
      </c>
      <c r="G915" s="6">
        <v>43115</v>
      </c>
      <c r="H915" s="1">
        <v>2009</v>
      </c>
      <c r="I915" t="s">
        <v>55</v>
      </c>
      <c r="J915" s="1">
        <v>102</v>
      </c>
      <c r="K915" s="1" t="s">
        <v>28</v>
      </c>
      <c r="L915" s="1" t="s">
        <v>21</v>
      </c>
      <c r="M915" s="1">
        <v>1.9</v>
      </c>
      <c r="N915" s="1">
        <v>19.079999999999998</v>
      </c>
      <c r="O915" s="1">
        <v>88916000</v>
      </c>
      <c r="P915" t="s">
        <v>2282</v>
      </c>
    </row>
    <row r="916" spans="1:16" hidden="1" x14ac:dyDescent="0.3">
      <c r="A916" s="1" t="s">
        <v>2076</v>
      </c>
      <c r="B916" s="1" t="s">
        <v>37</v>
      </c>
      <c r="C916" s="1" t="s">
        <v>2077</v>
      </c>
      <c r="D916" s="1" t="s">
        <v>72</v>
      </c>
      <c r="E916" s="1" t="s">
        <v>2078</v>
      </c>
      <c r="F916" s="1" t="s">
        <v>33</v>
      </c>
      <c r="G916" s="6">
        <v>43990</v>
      </c>
      <c r="H916" s="1">
        <v>2015</v>
      </c>
      <c r="I916" t="s">
        <v>27</v>
      </c>
      <c r="J916" s="1">
        <v>63</v>
      </c>
      <c r="K916" s="1" t="s">
        <v>28</v>
      </c>
      <c r="L916" s="1" t="s">
        <v>52</v>
      </c>
      <c r="M916" s="1">
        <v>3.9</v>
      </c>
      <c r="N916" s="1">
        <v>37.049999999999997</v>
      </c>
      <c r="O916" s="1">
        <v>90900000</v>
      </c>
      <c r="P916" t="s">
        <v>2282</v>
      </c>
    </row>
    <row r="917" spans="1:16" x14ac:dyDescent="0.3">
      <c r="A917" s="1" t="s">
        <v>2079</v>
      </c>
      <c r="B917" s="1" t="s">
        <v>14</v>
      </c>
      <c r="C917" s="1" t="s">
        <v>2080</v>
      </c>
      <c r="D917" s="1" t="s">
        <v>16</v>
      </c>
      <c r="E917" s="1" t="s">
        <v>44</v>
      </c>
      <c r="F917" s="1" t="s">
        <v>158</v>
      </c>
      <c r="G917" s="6">
        <v>45038</v>
      </c>
      <c r="H917" s="1">
        <v>1997</v>
      </c>
      <c r="I917" t="s">
        <v>55</v>
      </c>
      <c r="J917" s="1">
        <v>9</v>
      </c>
      <c r="K917" s="1" t="s">
        <v>20</v>
      </c>
      <c r="L917" s="1" t="s">
        <v>52</v>
      </c>
      <c r="M917" s="1">
        <v>999</v>
      </c>
      <c r="N917" s="1">
        <v>100.85</v>
      </c>
      <c r="O917" s="1">
        <v>37466000</v>
      </c>
      <c r="P917" t="s">
        <v>2282</v>
      </c>
    </row>
    <row r="918" spans="1:16" x14ac:dyDescent="0.3">
      <c r="A918" s="1" t="s">
        <v>2081</v>
      </c>
      <c r="B918" s="1" t="s">
        <v>14</v>
      </c>
      <c r="C918" s="1" t="s">
        <v>2082</v>
      </c>
      <c r="D918" s="1" t="s">
        <v>16</v>
      </c>
      <c r="E918" s="1" t="s">
        <v>17</v>
      </c>
      <c r="F918" s="1" t="s">
        <v>158</v>
      </c>
      <c r="G918" s="6">
        <v>43204</v>
      </c>
      <c r="H918" s="1">
        <v>2023</v>
      </c>
      <c r="I918" t="s">
        <v>19</v>
      </c>
      <c r="J918" s="1">
        <v>1</v>
      </c>
      <c r="K918" s="1" t="s">
        <v>20</v>
      </c>
      <c r="L918" s="1" t="s">
        <v>41</v>
      </c>
      <c r="M918" s="1">
        <v>5.0999999999999996</v>
      </c>
      <c r="N918" s="1">
        <v>40.79</v>
      </c>
      <c r="O918" s="1">
        <v>26918000</v>
      </c>
      <c r="P918" t="s">
        <v>2282</v>
      </c>
    </row>
    <row r="919" spans="1:16" x14ac:dyDescent="0.3">
      <c r="A919" s="1" t="s">
        <v>2083</v>
      </c>
      <c r="B919" s="1" t="s">
        <v>14</v>
      </c>
      <c r="C919" s="1" t="s">
        <v>2084</v>
      </c>
      <c r="D919" s="1" t="s">
        <v>49</v>
      </c>
      <c r="E919" s="1" t="s">
        <v>2085</v>
      </c>
      <c r="F919" s="1" t="s">
        <v>45</v>
      </c>
      <c r="G919" s="6">
        <v>43784</v>
      </c>
      <c r="H919" s="1">
        <v>1992</v>
      </c>
      <c r="I919" t="s">
        <v>19</v>
      </c>
      <c r="J919" s="1">
        <v>1</v>
      </c>
      <c r="K919" s="1" t="s">
        <v>20</v>
      </c>
      <c r="L919" s="1" t="s">
        <v>69</v>
      </c>
      <c r="M919" s="1">
        <v>7.8</v>
      </c>
      <c r="N919" s="1">
        <v>83.06</v>
      </c>
      <c r="O919" s="1">
        <v>99532000</v>
      </c>
      <c r="P919" t="s">
        <v>2281</v>
      </c>
    </row>
    <row r="920" spans="1:16" hidden="1" x14ac:dyDescent="0.3">
      <c r="A920" s="1" t="s">
        <v>2086</v>
      </c>
      <c r="B920" s="1" t="s">
        <v>37</v>
      </c>
      <c r="C920" s="1" t="s">
        <v>2087</v>
      </c>
      <c r="D920" s="1" t="s">
        <v>72</v>
      </c>
      <c r="E920" s="1" t="s">
        <v>216</v>
      </c>
      <c r="F920" s="1" t="s">
        <v>76</v>
      </c>
      <c r="G920" s="6">
        <v>43629</v>
      </c>
      <c r="H920" s="1">
        <v>2011</v>
      </c>
      <c r="I920" t="s">
        <v>55</v>
      </c>
      <c r="J920" s="1">
        <v>106</v>
      </c>
      <c r="K920" s="1" t="s">
        <v>28</v>
      </c>
      <c r="L920" s="1" t="s">
        <v>69</v>
      </c>
      <c r="M920" s="1">
        <v>9.6</v>
      </c>
      <c r="N920" s="1">
        <v>114.81</v>
      </c>
      <c r="O920" s="1">
        <v>96829000</v>
      </c>
      <c r="P920" t="s">
        <v>2281</v>
      </c>
    </row>
    <row r="921" spans="1:16" hidden="1" x14ac:dyDescent="0.3">
      <c r="A921" s="1" t="s">
        <v>2088</v>
      </c>
      <c r="B921" s="1" t="s">
        <v>37</v>
      </c>
      <c r="C921" s="1" t="s">
        <v>2089</v>
      </c>
      <c r="D921" s="1" t="s">
        <v>16</v>
      </c>
      <c r="E921" s="1" t="s">
        <v>17</v>
      </c>
      <c r="F921" s="1" t="s">
        <v>26</v>
      </c>
      <c r="G921" s="6">
        <v>43342</v>
      </c>
      <c r="H921" s="1">
        <v>2008</v>
      </c>
      <c r="I921" t="s">
        <v>27</v>
      </c>
      <c r="J921" s="1">
        <v>91</v>
      </c>
      <c r="K921" s="1" t="s">
        <v>28</v>
      </c>
      <c r="L921" s="1" t="s">
        <v>69</v>
      </c>
      <c r="M921" s="1">
        <v>3.3</v>
      </c>
      <c r="N921" s="1">
        <v>76.05</v>
      </c>
      <c r="O921" s="1">
        <v>85966000</v>
      </c>
      <c r="P921" t="s">
        <v>2282</v>
      </c>
    </row>
    <row r="922" spans="1:16" hidden="1" x14ac:dyDescent="0.3">
      <c r="A922" s="1" t="s">
        <v>2090</v>
      </c>
      <c r="B922" s="1" t="s">
        <v>37</v>
      </c>
      <c r="C922" s="1" t="s">
        <v>2091</v>
      </c>
      <c r="D922" s="1" t="s">
        <v>39</v>
      </c>
      <c r="E922" s="1" t="s">
        <v>141</v>
      </c>
      <c r="F922" s="1" t="s">
        <v>76</v>
      </c>
      <c r="G922" s="6">
        <v>44066</v>
      </c>
      <c r="H922" s="1">
        <v>2018</v>
      </c>
      <c r="I922" t="s">
        <v>27</v>
      </c>
      <c r="J922" s="1">
        <v>127</v>
      </c>
      <c r="K922" s="1" t="s">
        <v>28</v>
      </c>
      <c r="L922" s="1" t="s">
        <v>52</v>
      </c>
      <c r="M922" s="1">
        <v>7.9</v>
      </c>
      <c r="N922" s="1">
        <v>20.420000000000002</v>
      </c>
      <c r="O922" s="1">
        <v>13334000</v>
      </c>
      <c r="P922" t="s">
        <v>2281</v>
      </c>
    </row>
    <row r="923" spans="1:16" hidden="1" x14ac:dyDescent="0.3">
      <c r="A923" s="1" t="s">
        <v>2092</v>
      </c>
      <c r="B923" s="1" t="s">
        <v>37</v>
      </c>
      <c r="C923" s="1" t="s">
        <v>2093</v>
      </c>
      <c r="D923" s="1" t="s">
        <v>39</v>
      </c>
      <c r="E923" s="1" t="s">
        <v>435</v>
      </c>
      <c r="F923" s="1" t="s">
        <v>158</v>
      </c>
      <c r="G923" s="6">
        <v>44176</v>
      </c>
      <c r="H923" s="1">
        <v>2001</v>
      </c>
      <c r="I923" t="s">
        <v>27</v>
      </c>
      <c r="J923" s="1">
        <v>158</v>
      </c>
      <c r="K923" s="1" t="s">
        <v>28</v>
      </c>
      <c r="L923" s="1" t="s">
        <v>69</v>
      </c>
      <c r="M923" s="1">
        <v>2.5</v>
      </c>
      <c r="N923" s="1">
        <v>105.79</v>
      </c>
      <c r="O923" s="1">
        <v>96517000</v>
      </c>
      <c r="P923" t="s">
        <v>2282</v>
      </c>
    </row>
    <row r="924" spans="1:16" hidden="1" x14ac:dyDescent="0.3">
      <c r="A924" s="1" t="s">
        <v>2094</v>
      </c>
      <c r="B924" s="1" t="s">
        <v>37</v>
      </c>
      <c r="C924" s="1" t="s">
        <v>2095</v>
      </c>
      <c r="D924" s="1" t="s">
        <v>49</v>
      </c>
      <c r="E924" s="1" t="s">
        <v>111</v>
      </c>
      <c r="F924" s="1" t="s">
        <v>158</v>
      </c>
      <c r="G924" s="6">
        <v>42711</v>
      </c>
      <c r="H924" s="1">
        <v>2023</v>
      </c>
      <c r="I924" t="s">
        <v>19</v>
      </c>
      <c r="J924" s="1">
        <v>109</v>
      </c>
      <c r="K924" s="1" t="s">
        <v>28</v>
      </c>
      <c r="L924" s="1" t="s">
        <v>41</v>
      </c>
      <c r="M924" s="1">
        <v>1.3</v>
      </c>
      <c r="N924" s="1">
        <v>35.33</v>
      </c>
      <c r="O924" s="1">
        <v>30219000</v>
      </c>
      <c r="P924" t="s">
        <v>2282</v>
      </c>
    </row>
    <row r="925" spans="1:16" x14ac:dyDescent="0.3">
      <c r="A925" s="1" t="s">
        <v>2096</v>
      </c>
      <c r="B925" s="1" t="s">
        <v>14</v>
      </c>
      <c r="C925" s="1" t="s">
        <v>2097</v>
      </c>
      <c r="D925" s="1" t="s">
        <v>31</v>
      </c>
      <c r="E925" s="1" t="s">
        <v>347</v>
      </c>
      <c r="F925" s="1" t="s">
        <v>51</v>
      </c>
      <c r="G925" s="6">
        <v>43132</v>
      </c>
      <c r="H925" s="1">
        <v>1997</v>
      </c>
      <c r="I925" t="s">
        <v>77</v>
      </c>
      <c r="J925" s="1">
        <v>5</v>
      </c>
      <c r="K925" s="1" t="s">
        <v>20</v>
      </c>
      <c r="L925" s="1" t="s">
        <v>41</v>
      </c>
      <c r="M925" s="1">
        <v>1.5</v>
      </c>
      <c r="N925" s="1">
        <v>49.02</v>
      </c>
      <c r="O925" s="1">
        <v>44138000</v>
      </c>
      <c r="P925" t="s">
        <v>2281</v>
      </c>
    </row>
    <row r="926" spans="1:16" x14ac:dyDescent="0.3">
      <c r="A926" s="1" t="s">
        <v>2098</v>
      </c>
      <c r="B926" s="1" t="s">
        <v>14</v>
      </c>
      <c r="C926" s="1" t="s">
        <v>2099</v>
      </c>
      <c r="D926" s="1" t="s">
        <v>49</v>
      </c>
      <c r="E926" s="1" t="s">
        <v>665</v>
      </c>
      <c r="F926" s="1" t="s">
        <v>33</v>
      </c>
      <c r="G926" s="6">
        <v>42666</v>
      </c>
      <c r="H926" s="1">
        <v>2010</v>
      </c>
      <c r="I926" t="s">
        <v>27</v>
      </c>
      <c r="J926" s="1">
        <v>1</v>
      </c>
      <c r="K926" s="1" t="s">
        <v>20</v>
      </c>
      <c r="L926" s="1" t="s">
        <v>69</v>
      </c>
      <c r="M926" s="1">
        <v>5</v>
      </c>
      <c r="N926" s="1">
        <v>96.28</v>
      </c>
      <c r="O926" s="1">
        <v>21312000</v>
      </c>
      <c r="P926" t="s">
        <v>2281</v>
      </c>
    </row>
    <row r="927" spans="1:16" x14ac:dyDescent="0.3">
      <c r="A927" s="1" t="s">
        <v>2100</v>
      </c>
      <c r="B927" s="1" t="s">
        <v>14</v>
      </c>
      <c r="C927" s="1" t="s">
        <v>2101</v>
      </c>
      <c r="D927" s="1" t="s">
        <v>31</v>
      </c>
      <c r="E927" s="1" t="s">
        <v>63</v>
      </c>
      <c r="F927" s="1" t="s">
        <v>18</v>
      </c>
      <c r="G927" s="6">
        <v>42046</v>
      </c>
      <c r="H927" s="1">
        <v>2015</v>
      </c>
      <c r="I927" t="s">
        <v>55</v>
      </c>
      <c r="J927" s="1">
        <v>1</v>
      </c>
      <c r="K927" s="1" t="s">
        <v>20</v>
      </c>
      <c r="L927" s="1" t="s">
        <v>35</v>
      </c>
      <c r="M927" s="1">
        <v>1.9</v>
      </c>
      <c r="N927" s="1">
        <v>74.540000000000006</v>
      </c>
      <c r="O927" s="1">
        <v>36397000</v>
      </c>
      <c r="P927" t="s">
        <v>2281</v>
      </c>
    </row>
    <row r="928" spans="1:16" hidden="1" x14ac:dyDescent="0.3">
      <c r="A928" s="1" t="s">
        <v>2102</v>
      </c>
      <c r="B928" s="1" t="s">
        <v>37</v>
      </c>
      <c r="C928" s="1" t="s">
        <v>2103</v>
      </c>
      <c r="D928" s="1" t="s">
        <v>24</v>
      </c>
      <c r="E928" s="1" t="s">
        <v>75</v>
      </c>
      <c r="F928" s="1" t="s">
        <v>76</v>
      </c>
      <c r="G928" s="6">
        <v>44144</v>
      </c>
      <c r="H928" s="1">
        <v>1994</v>
      </c>
      <c r="I928" t="s">
        <v>27</v>
      </c>
      <c r="J928" s="1">
        <v>67</v>
      </c>
      <c r="K928" s="1" t="s">
        <v>28</v>
      </c>
      <c r="L928" s="1" t="s">
        <v>21</v>
      </c>
      <c r="M928" s="1">
        <v>9.5</v>
      </c>
      <c r="N928" s="1">
        <v>29.52</v>
      </c>
      <c r="O928" s="1">
        <v>64218000</v>
      </c>
      <c r="P928" t="s">
        <v>2281</v>
      </c>
    </row>
    <row r="929" spans="1:16" hidden="1" x14ac:dyDescent="0.3">
      <c r="A929" s="1" t="s">
        <v>2104</v>
      </c>
      <c r="B929" s="1" t="s">
        <v>37</v>
      </c>
      <c r="C929" s="1" t="s">
        <v>2105</v>
      </c>
      <c r="D929" s="1" t="s">
        <v>31</v>
      </c>
      <c r="E929" s="1" t="s">
        <v>270</v>
      </c>
      <c r="F929" s="1" t="s">
        <v>76</v>
      </c>
      <c r="G929" s="6">
        <v>42421</v>
      </c>
      <c r="H929" s="1">
        <v>2019</v>
      </c>
      <c r="I929" t="s">
        <v>77</v>
      </c>
      <c r="J929" s="1">
        <v>83</v>
      </c>
      <c r="K929" s="1" t="s">
        <v>28</v>
      </c>
      <c r="L929" s="1" t="s">
        <v>35</v>
      </c>
      <c r="M929" s="1">
        <v>4.0999999999999996</v>
      </c>
      <c r="N929" s="1">
        <v>29.84</v>
      </c>
      <c r="O929" s="1">
        <v>54136000</v>
      </c>
      <c r="P929" t="s">
        <v>2281</v>
      </c>
    </row>
    <row r="930" spans="1:16" x14ac:dyDescent="0.3">
      <c r="A930" s="1" t="s">
        <v>2106</v>
      </c>
      <c r="B930" s="1" t="s">
        <v>14</v>
      </c>
      <c r="C930" s="1" t="s">
        <v>2107</v>
      </c>
      <c r="D930" s="1" t="s">
        <v>39</v>
      </c>
      <c r="E930" s="1" t="s">
        <v>63</v>
      </c>
      <c r="F930" s="1" t="s">
        <v>45</v>
      </c>
      <c r="G930" s="6">
        <v>43631</v>
      </c>
      <c r="H930" s="1">
        <v>1990</v>
      </c>
      <c r="I930" t="s">
        <v>55</v>
      </c>
      <c r="J930" s="1">
        <v>7</v>
      </c>
      <c r="K930" s="1" t="s">
        <v>20</v>
      </c>
      <c r="L930" s="1" t="s">
        <v>69</v>
      </c>
      <c r="M930" s="1">
        <v>9.1999999999999993</v>
      </c>
      <c r="N930" s="1">
        <v>131.13999999999999</v>
      </c>
      <c r="O930" s="1">
        <v>62195000</v>
      </c>
      <c r="P930" t="s">
        <v>2282</v>
      </c>
    </row>
    <row r="931" spans="1:16" x14ac:dyDescent="0.3">
      <c r="A931" s="1" t="s">
        <v>2108</v>
      </c>
      <c r="B931" s="1" t="s">
        <v>14</v>
      </c>
      <c r="C931" s="1" t="s">
        <v>2109</v>
      </c>
      <c r="D931" s="1" t="s">
        <v>24</v>
      </c>
      <c r="E931" s="1" t="s">
        <v>400</v>
      </c>
      <c r="F931" s="1" t="s">
        <v>59</v>
      </c>
      <c r="G931" s="6">
        <v>44244</v>
      </c>
      <c r="H931" s="1">
        <v>1995</v>
      </c>
      <c r="I931" t="s">
        <v>77</v>
      </c>
      <c r="J931" s="1">
        <v>1</v>
      </c>
      <c r="K931" s="1" t="s">
        <v>20</v>
      </c>
      <c r="L931" s="1" t="s">
        <v>52</v>
      </c>
      <c r="M931" s="1">
        <v>4</v>
      </c>
      <c r="N931" s="1">
        <v>29.96</v>
      </c>
      <c r="O931" s="1">
        <v>35709000</v>
      </c>
      <c r="P931" t="s">
        <v>2281</v>
      </c>
    </row>
    <row r="932" spans="1:16" x14ac:dyDescent="0.3">
      <c r="A932" s="1" t="s">
        <v>2110</v>
      </c>
      <c r="B932" s="1" t="s">
        <v>14</v>
      </c>
      <c r="C932" s="1" t="s">
        <v>2111</v>
      </c>
      <c r="D932" s="1" t="s">
        <v>31</v>
      </c>
      <c r="E932" s="1" t="s">
        <v>2112</v>
      </c>
      <c r="F932" s="1" t="s">
        <v>45</v>
      </c>
      <c r="G932" s="6">
        <v>43803</v>
      </c>
      <c r="H932" s="1">
        <v>2002</v>
      </c>
      <c r="I932" t="s">
        <v>77</v>
      </c>
      <c r="J932" s="1">
        <v>9</v>
      </c>
      <c r="K932" s="1" t="s">
        <v>20</v>
      </c>
      <c r="L932" s="1" t="s">
        <v>21</v>
      </c>
      <c r="M932" s="1">
        <v>9.9</v>
      </c>
      <c r="N932" s="1">
        <v>63.42</v>
      </c>
      <c r="O932" s="1">
        <v>74221000</v>
      </c>
      <c r="P932" t="s">
        <v>2282</v>
      </c>
    </row>
    <row r="933" spans="1:16" x14ac:dyDescent="0.3">
      <c r="A933" s="1" t="s">
        <v>2113</v>
      </c>
      <c r="B933" s="1" t="s">
        <v>14</v>
      </c>
      <c r="C933" s="1" t="s">
        <v>2114</v>
      </c>
      <c r="D933" s="1" t="s">
        <v>24</v>
      </c>
      <c r="E933" s="1" t="s">
        <v>347</v>
      </c>
      <c r="F933" s="1" t="s">
        <v>33</v>
      </c>
      <c r="G933" s="6">
        <v>43700</v>
      </c>
      <c r="H933" s="1">
        <v>2000</v>
      </c>
      <c r="I933" t="s">
        <v>77</v>
      </c>
      <c r="J933" s="1">
        <v>4</v>
      </c>
      <c r="K933" s="1" t="s">
        <v>20</v>
      </c>
      <c r="L933" s="1" t="s">
        <v>35</v>
      </c>
      <c r="M933" s="1">
        <v>3</v>
      </c>
      <c r="N933" s="1">
        <v>114.73</v>
      </c>
      <c r="O933" s="1">
        <v>4940000</v>
      </c>
      <c r="P933" t="s">
        <v>2282</v>
      </c>
    </row>
    <row r="934" spans="1:16" x14ac:dyDescent="0.3">
      <c r="A934" s="1" t="s">
        <v>2115</v>
      </c>
      <c r="B934" s="1" t="s">
        <v>14</v>
      </c>
      <c r="C934" s="1" t="s">
        <v>2116</v>
      </c>
      <c r="D934" s="1" t="s">
        <v>16</v>
      </c>
      <c r="E934" s="1" t="s">
        <v>80</v>
      </c>
      <c r="F934" s="1" t="s">
        <v>158</v>
      </c>
      <c r="G934" s="6">
        <v>42975</v>
      </c>
      <c r="H934" s="1">
        <v>2001</v>
      </c>
      <c r="I934" t="s">
        <v>55</v>
      </c>
      <c r="J934" s="1">
        <v>8</v>
      </c>
      <c r="K934" s="1" t="s">
        <v>20</v>
      </c>
      <c r="L934" s="1" t="s">
        <v>41</v>
      </c>
      <c r="M934" s="1">
        <v>8.8000000000000007</v>
      </c>
      <c r="N934" s="1">
        <v>37.53</v>
      </c>
      <c r="O934" s="1">
        <v>35263000</v>
      </c>
      <c r="P934" t="s">
        <v>2281</v>
      </c>
    </row>
    <row r="935" spans="1:16" hidden="1" x14ac:dyDescent="0.3">
      <c r="A935" s="1" t="s">
        <v>2117</v>
      </c>
      <c r="B935" s="1" t="s">
        <v>37</v>
      </c>
      <c r="C935" s="1" t="s">
        <v>2118</v>
      </c>
      <c r="D935" s="1" t="s">
        <v>16</v>
      </c>
      <c r="E935" s="1" t="s">
        <v>144</v>
      </c>
      <c r="F935" s="1" t="s">
        <v>33</v>
      </c>
      <c r="G935" s="6">
        <v>44548</v>
      </c>
      <c r="H935" s="1">
        <v>2018</v>
      </c>
      <c r="I935" t="s">
        <v>27</v>
      </c>
      <c r="J935" s="1">
        <v>108</v>
      </c>
      <c r="K935" s="1" t="s">
        <v>28</v>
      </c>
      <c r="L935" s="1" t="s">
        <v>21</v>
      </c>
      <c r="M935" s="1">
        <v>3.1</v>
      </c>
      <c r="N935" s="1">
        <v>111.52</v>
      </c>
      <c r="O935" s="1">
        <v>77417000</v>
      </c>
      <c r="P935" t="s">
        <v>2282</v>
      </c>
    </row>
    <row r="936" spans="1:16" hidden="1" x14ac:dyDescent="0.3">
      <c r="A936" s="1" t="s">
        <v>2119</v>
      </c>
      <c r="B936" s="1" t="s">
        <v>37</v>
      </c>
      <c r="C936" s="1" t="s">
        <v>2120</v>
      </c>
      <c r="D936" s="1" t="s">
        <v>24</v>
      </c>
      <c r="E936" s="1" t="s">
        <v>75</v>
      </c>
      <c r="F936" s="1" t="s">
        <v>158</v>
      </c>
      <c r="G936" s="6">
        <v>44372</v>
      </c>
      <c r="H936" s="1">
        <v>2004</v>
      </c>
      <c r="I936" t="s">
        <v>89</v>
      </c>
      <c r="J936" s="1">
        <v>90</v>
      </c>
      <c r="K936" s="1" t="s">
        <v>28</v>
      </c>
      <c r="L936" s="1" t="s">
        <v>35</v>
      </c>
      <c r="M936" s="1">
        <v>2.5</v>
      </c>
      <c r="N936" s="1">
        <v>31.26</v>
      </c>
      <c r="O936" s="1">
        <v>99277000</v>
      </c>
      <c r="P936" t="s">
        <v>2282</v>
      </c>
    </row>
    <row r="937" spans="1:16" x14ac:dyDescent="0.3">
      <c r="A937" s="1" t="s">
        <v>2121</v>
      </c>
      <c r="B937" s="1" t="s">
        <v>14</v>
      </c>
      <c r="C937" s="1" t="s">
        <v>2122</v>
      </c>
      <c r="D937" s="1" t="s">
        <v>31</v>
      </c>
      <c r="E937" s="1" t="s">
        <v>668</v>
      </c>
      <c r="F937" s="1" t="s">
        <v>51</v>
      </c>
      <c r="G937" s="6">
        <v>45198</v>
      </c>
      <c r="H937" s="1">
        <v>2004</v>
      </c>
      <c r="I937" t="s">
        <v>34</v>
      </c>
      <c r="J937" s="1">
        <v>2</v>
      </c>
      <c r="K937" s="1" t="s">
        <v>20</v>
      </c>
      <c r="L937" s="1" t="s">
        <v>41</v>
      </c>
      <c r="M937" s="1">
        <v>4</v>
      </c>
      <c r="N937" s="1">
        <v>52.46</v>
      </c>
      <c r="O937" s="1">
        <v>27733000</v>
      </c>
      <c r="P937" t="s">
        <v>2281</v>
      </c>
    </row>
    <row r="938" spans="1:16" hidden="1" x14ac:dyDescent="0.3">
      <c r="A938" s="1" t="s">
        <v>2123</v>
      </c>
      <c r="B938" s="1" t="s">
        <v>37</v>
      </c>
      <c r="C938" s="1" t="s">
        <v>2124</v>
      </c>
      <c r="D938" s="1" t="s">
        <v>31</v>
      </c>
      <c r="E938" s="1" t="s">
        <v>72</v>
      </c>
      <c r="F938" s="1" t="s">
        <v>45</v>
      </c>
      <c r="G938" s="6">
        <v>42974</v>
      </c>
      <c r="H938" s="1">
        <v>2017</v>
      </c>
      <c r="I938" t="s">
        <v>34</v>
      </c>
      <c r="J938" s="1">
        <v>129</v>
      </c>
      <c r="K938" s="1" t="s">
        <v>28</v>
      </c>
      <c r="L938" s="1" t="s">
        <v>35</v>
      </c>
      <c r="M938" s="1">
        <v>7.7</v>
      </c>
      <c r="N938" s="1">
        <v>148.47999999999999</v>
      </c>
      <c r="O938" s="1">
        <v>52117000</v>
      </c>
      <c r="P938" t="s">
        <v>2282</v>
      </c>
    </row>
    <row r="939" spans="1:16" hidden="1" x14ac:dyDescent="0.3">
      <c r="A939" s="1" t="s">
        <v>2125</v>
      </c>
      <c r="B939" s="1" t="s">
        <v>37</v>
      </c>
      <c r="C939" s="1" t="s">
        <v>2126</v>
      </c>
      <c r="D939" s="1" t="s">
        <v>72</v>
      </c>
      <c r="E939" s="1" t="s">
        <v>75</v>
      </c>
      <c r="F939" s="1" t="s">
        <v>18</v>
      </c>
      <c r="G939" s="6">
        <v>43531</v>
      </c>
      <c r="H939" s="1">
        <v>1998</v>
      </c>
      <c r="I939" t="s">
        <v>55</v>
      </c>
      <c r="J939" s="1">
        <v>72</v>
      </c>
      <c r="K939" s="1" t="s">
        <v>28</v>
      </c>
      <c r="L939" s="1" t="s">
        <v>46</v>
      </c>
      <c r="M939" s="1">
        <v>8.4</v>
      </c>
      <c r="N939" s="1">
        <v>28.19</v>
      </c>
      <c r="O939" s="1">
        <v>35416000</v>
      </c>
      <c r="P939" t="s">
        <v>2282</v>
      </c>
    </row>
    <row r="940" spans="1:16" hidden="1" x14ac:dyDescent="0.3">
      <c r="A940" s="1" t="s">
        <v>2127</v>
      </c>
      <c r="B940" s="1" t="s">
        <v>37</v>
      </c>
      <c r="C940" s="1" t="s">
        <v>2128</v>
      </c>
      <c r="D940" s="1" t="s">
        <v>72</v>
      </c>
      <c r="E940" s="1" t="s">
        <v>484</v>
      </c>
      <c r="F940" s="1" t="s">
        <v>158</v>
      </c>
      <c r="G940" s="6">
        <v>44912</v>
      </c>
      <c r="H940" s="1">
        <v>2019</v>
      </c>
      <c r="I940" t="s">
        <v>77</v>
      </c>
      <c r="J940" s="1">
        <v>92</v>
      </c>
      <c r="K940" s="1" t="s">
        <v>28</v>
      </c>
      <c r="L940" s="1" t="s">
        <v>52</v>
      </c>
      <c r="M940" s="1">
        <v>8.6999999999999993</v>
      </c>
      <c r="N940" s="1">
        <v>147.16</v>
      </c>
      <c r="O940" s="1">
        <v>54689000</v>
      </c>
      <c r="P940" t="s">
        <v>2282</v>
      </c>
    </row>
    <row r="941" spans="1:16" hidden="1" x14ac:dyDescent="0.3">
      <c r="A941" s="1" t="s">
        <v>2129</v>
      </c>
      <c r="B941" s="1" t="s">
        <v>37</v>
      </c>
      <c r="C941" s="1" t="s">
        <v>2130</v>
      </c>
      <c r="D941" s="1" t="s">
        <v>31</v>
      </c>
      <c r="E941" s="1" t="s">
        <v>876</v>
      </c>
      <c r="F941" s="1" t="s">
        <v>26</v>
      </c>
      <c r="G941" s="6">
        <v>43528</v>
      </c>
      <c r="H941" s="1">
        <v>2003</v>
      </c>
      <c r="I941" t="s">
        <v>34</v>
      </c>
      <c r="J941" s="1">
        <v>103</v>
      </c>
      <c r="K941" s="1" t="s">
        <v>28</v>
      </c>
      <c r="L941" s="1" t="s">
        <v>46</v>
      </c>
      <c r="M941" s="1">
        <v>5.2</v>
      </c>
      <c r="N941" s="1">
        <v>121.87</v>
      </c>
      <c r="O941" s="1">
        <v>61223000</v>
      </c>
      <c r="P941" t="s">
        <v>2281</v>
      </c>
    </row>
    <row r="942" spans="1:16" x14ac:dyDescent="0.3">
      <c r="A942" s="1" t="s">
        <v>2131</v>
      </c>
      <c r="B942" s="1" t="s">
        <v>14</v>
      </c>
      <c r="C942" s="1" t="s">
        <v>2132</v>
      </c>
      <c r="D942" s="1" t="s">
        <v>49</v>
      </c>
      <c r="E942" s="1" t="s">
        <v>50</v>
      </c>
      <c r="F942" s="1" t="s">
        <v>45</v>
      </c>
      <c r="G942" s="6">
        <v>45252</v>
      </c>
      <c r="H942" s="1">
        <v>2000</v>
      </c>
      <c r="I942" t="s">
        <v>34</v>
      </c>
      <c r="J942" s="1">
        <v>6</v>
      </c>
      <c r="K942" s="1" t="s">
        <v>20</v>
      </c>
      <c r="L942" s="1" t="s">
        <v>69</v>
      </c>
      <c r="M942" s="1">
        <v>7.5</v>
      </c>
      <c r="N942" s="1">
        <v>119.84</v>
      </c>
      <c r="O942" s="1">
        <v>39610000</v>
      </c>
      <c r="P942" t="s">
        <v>2281</v>
      </c>
    </row>
    <row r="943" spans="1:16" x14ac:dyDescent="0.3">
      <c r="A943" s="1" t="s">
        <v>2133</v>
      </c>
      <c r="B943" s="1" t="s">
        <v>14</v>
      </c>
      <c r="C943" s="1" t="s">
        <v>2134</v>
      </c>
      <c r="D943" s="1" t="s">
        <v>31</v>
      </c>
      <c r="E943" s="1" t="s">
        <v>133</v>
      </c>
      <c r="F943" s="1" t="s">
        <v>51</v>
      </c>
      <c r="G943" s="6">
        <v>43952</v>
      </c>
      <c r="H943" s="1">
        <v>2009</v>
      </c>
      <c r="I943" t="s">
        <v>19</v>
      </c>
      <c r="J943" s="1">
        <v>10</v>
      </c>
      <c r="K943" s="1" t="s">
        <v>20</v>
      </c>
      <c r="L943" s="1" t="s">
        <v>46</v>
      </c>
      <c r="M943" s="1">
        <v>6.3</v>
      </c>
      <c r="N943" s="1">
        <v>146.55000000000001</v>
      </c>
      <c r="O943" s="1">
        <v>34180000</v>
      </c>
      <c r="P943" t="s">
        <v>2282</v>
      </c>
    </row>
    <row r="944" spans="1:16" hidden="1" x14ac:dyDescent="0.3">
      <c r="A944" s="1" t="s">
        <v>2135</v>
      </c>
      <c r="B944" s="1" t="s">
        <v>37</v>
      </c>
      <c r="C944" s="1" t="s">
        <v>2136</v>
      </c>
      <c r="D944" s="1" t="s">
        <v>24</v>
      </c>
      <c r="E944" s="1" t="s">
        <v>40</v>
      </c>
      <c r="F944" s="1" t="s">
        <v>158</v>
      </c>
      <c r="G944" s="6">
        <v>43288</v>
      </c>
      <c r="H944" s="1">
        <v>2022</v>
      </c>
      <c r="I944" t="s">
        <v>89</v>
      </c>
      <c r="J944" s="1">
        <v>78</v>
      </c>
      <c r="K944" s="1" t="s">
        <v>28</v>
      </c>
      <c r="L944" s="1" t="s">
        <v>21</v>
      </c>
      <c r="M944" s="1">
        <v>8.9</v>
      </c>
      <c r="N944" s="1">
        <v>137.38</v>
      </c>
      <c r="O944" s="1">
        <v>75465000</v>
      </c>
      <c r="P944" t="s">
        <v>2281</v>
      </c>
    </row>
    <row r="945" spans="1:16" x14ac:dyDescent="0.3">
      <c r="A945" s="1" t="s">
        <v>2137</v>
      </c>
      <c r="B945" s="1" t="s">
        <v>14</v>
      </c>
      <c r="C945" s="1" t="s">
        <v>2138</v>
      </c>
      <c r="D945" s="1" t="s">
        <v>31</v>
      </c>
      <c r="E945" s="1" t="s">
        <v>232</v>
      </c>
      <c r="F945" s="1" t="s">
        <v>51</v>
      </c>
      <c r="G945" s="6">
        <v>43876</v>
      </c>
      <c r="H945" s="1">
        <v>2013</v>
      </c>
      <c r="I945" t="s">
        <v>55</v>
      </c>
      <c r="J945" s="1">
        <v>1</v>
      </c>
      <c r="K945" s="1" t="s">
        <v>20</v>
      </c>
      <c r="L945" s="1" t="s">
        <v>35</v>
      </c>
      <c r="M945" s="1">
        <v>5</v>
      </c>
      <c r="N945" s="1">
        <v>146.31</v>
      </c>
      <c r="O945" s="1">
        <v>55389000</v>
      </c>
      <c r="P945" t="s">
        <v>2282</v>
      </c>
    </row>
    <row r="946" spans="1:16" hidden="1" x14ac:dyDescent="0.3">
      <c r="A946" s="1" t="s">
        <v>2139</v>
      </c>
      <c r="B946" s="1" t="s">
        <v>37</v>
      </c>
      <c r="C946" s="1" t="s">
        <v>2140</v>
      </c>
      <c r="D946" s="1" t="s">
        <v>24</v>
      </c>
      <c r="E946" s="1" t="s">
        <v>120</v>
      </c>
      <c r="F946" s="1" t="s">
        <v>59</v>
      </c>
      <c r="G946" s="6">
        <v>44668</v>
      </c>
      <c r="H946" s="1">
        <v>2008</v>
      </c>
      <c r="I946" t="s">
        <v>27</v>
      </c>
      <c r="J946" s="1">
        <v>60</v>
      </c>
      <c r="K946" s="1" t="s">
        <v>28</v>
      </c>
      <c r="L946" s="1" t="s">
        <v>41</v>
      </c>
      <c r="M946" s="1">
        <v>999</v>
      </c>
      <c r="N946" s="1">
        <v>26.6</v>
      </c>
      <c r="O946" s="1">
        <v>86133000</v>
      </c>
      <c r="P946" t="s">
        <v>2282</v>
      </c>
    </row>
    <row r="947" spans="1:16" hidden="1" x14ac:dyDescent="0.3">
      <c r="A947" s="1" t="s">
        <v>2141</v>
      </c>
      <c r="B947" s="1" t="s">
        <v>37</v>
      </c>
      <c r="C947" s="1" t="s">
        <v>2142</v>
      </c>
      <c r="D947" s="1" t="s">
        <v>62</v>
      </c>
      <c r="E947" s="1" t="s">
        <v>50</v>
      </c>
      <c r="F947" s="1" t="s">
        <v>76</v>
      </c>
      <c r="G947" s="6">
        <v>42628</v>
      </c>
      <c r="H947" s="1">
        <v>2007</v>
      </c>
      <c r="I947" t="s">
        <v>77</v>
      </c>
      <c r="J947" s="1">
        <v>132</v>
      </c>
      <c r="K947" s="1" t="s">
        <v>28</v>
      </c>
      <c r="L947" s="1" t="s">
        <v>69</v>
      </c>
      <c r="M947" s="1">
        <v>8.6</v>
      </c>
      <c r="N947" s="1">
        <v>119.35</v>
      </c>
      <c r="O947" s="1">
        <v>63606000</v>
      </c>
      <c r="P947" t="s">
        <v>2281</v>
      </c>
    </row>
    <row r="948" spans="1:16" hidden="1" x14ac:dyDescent="0.3">
      <c r="A948" s="1" t="s">
        <v>2143</v>
      </c>
      <c r="B948" s="1" t="s">
        <v>37</v>
      </c>
      <c r="C948" s="1" t="s">
        <v>2144</v>
      </c>
      <c r="D948" s="1" t="s">
        <v>16</v>
      </c>
      <c r="E948" s="1" t="s">
        <v>111</v>
      </c>
      <c r="F948" s="1" t="s">
        <v>45</v>
      </c>
      <c r="G948" s="6">
        <v>42278</v>
      </c>
      <c r="H948" s="1">
        <v>2010</v>
      </c>
      <c r="I948" t="s">
        <v>77</v>
      </c>
      <c r="J948" s="1">
        <v>103</v>
      </c>
      <c r="K948" s="1" t="s">
        <v>28</v>
      </c>
      <c r="L948" s="1" t="s">
        <v>69</v>
      </c>
      <c r="M948" s="1">
        <v>3.4</v>
      </c>
      <c r="N948" s="1">
        <v>86.17</v>
      </c>
      <c r="O948" s="1">
        <v>41108000</v>
      </c>
      <c r="P948" t="s">
        <v>2282</v>
      </c>
    </row>
    <row r="949" spans="1:16" hidden="1" x14ac:dyDescent="0.3">
      <c r="A949" s="1" t="s">
        <v>2145</v>
      </c>
      <c r="B949" s="1" t="s">
        <v>37</v>
      </c>
      <c r="C949" s="1" t="s">
        <v>2146</v>
      </c>
      <c r="D949" s="1" t="s">
        <v>24</v>
      </c>
      <c r="E949" s="1" t="s">
        <v>40</v>
      </c>
      <c r="F949" s="1" t="s">
        <v>59</v>
      </c>
      <c r="G949" s="6">
        <v>43045</v>
      </c>
      <c r="H949" s="1">
        <v>2004</v>
      </c>
      <c r="I949" t="s">
        <v>77</v>
      </c>
      <c r="J949" s="1">
        <v>141</v>
      </c>
      <c r="K949" s="1" t="s">
        <v>28</v>
      </c>
      <c r="L949" s="1" t="s">
        <v>35</v>
      </c>
      <c r="M949" s="1">
        <v>8.5</v>
      </c>
      <c r="N949" s="1">
        <v>127.14</v>
      </c>
      <c r="O949" s="1">
        <v>97423000</v>
      </c>
      <c r="P949" t="s">
        <v>2281</v>
      </c>
    </row>
    <row r="950" spans="1:16" x14ac:dyDescent="0.3">
      <c r="A950" s="1" t="s">
        <v>2147</v>
      </c>
      <c r="B950" s="1" t="s">
        <v>14</v>
      </c>
      <c r="C950" s="1" t="s">
        <v>2148</v>
      </c>
      <c r="D950" s="1" t="s">
        <v>16</v>
      </c>
      <c r="E950" s="1" t="s">
        <v>722</v>
      </c>
      <c r="F950" s="1" t="s">
        <v>76</v>
      </c>
      <c r="G950" s="6">
        <v>44703</v>
      </c>
      <c r="H950" s="1">
        <v>1997</v>
      </c>
      <c r="I950" t="s">
        <v>34</v>
      </c>
      <c r="J950" s="1">
        <v>9</v>
      </c>
      <c r="K950" s="1" t="s">
        <v>20</v>
      </c>
      <c r="L950" s="1" t="s">
        <v>35</v>
      </c>
      <c r="M950" s="1">
        <v>4.2</v>
      </c>
      <c r="N950" s="1">
        <v>115.24</v>
      </c>
      <c r="O950" s="1">
        <v>55622000</v>
      </c>
      <c r="P950" t="s">
        <v>2281</v>
      </c>
    </row>
    <row r="951" spans="1:16" x14ac:dyDescent="0.3">
      <c r="A951" s="1" t="s">
        <v>2149</v>
      </c>
      <c r="B951" s="1" t="s">
        <v>14</v>
      </c>
      <c r="C951" s="1" t="s">
        <v>2150</v>
      </c>
      <c r="D951" s="1" t="s">
        <v>72</v>
      </c>
      <c r="E951" s="1" t="s">
        <v>1168</v>
      </c>
      <c r="F951" s="1" t="s">
        <v>76</v>
      </c>
      <c r="G951" s="6">
        <v>43289</v>
      </c>
      <c r="H951" s="1">
        <v>2015</v>
      </c>
      <c r="I951" t="s">
        <v>19</v>
      </c>
      <c r="J951" s="1">
        <v>4</v>
      </c>
      <c r="K951" s="1" t="s">
        <v>20</v>
      </c>
      <c r="L951" s="1" t="s">
        <v>41</v>
      </c>
      <c r="M951" s="1">
        <v>7.2</v>
      </c>
      <c r="N951" s="1">
        <v>59.82</v>
      </c>
      <c r="O951" s="1">
        <v>64383000</v>
      </c>
      <c r="P951" t="s">
        <v>2281</v>
      </c>
    </row>
    <row r="952" spans="1:16" hidden="1" x14ac:dyDescent="0.3">
      <c r="A952" s="1" t="s">
        <v>2151</v>
      </c>
      <c r="B952" s="1" t="s">
        <v>37</v>
      </c>
      <c r="C952" s="1" t="s">
        <v>2152</v>
      </c>
      <c r="D952" s="1" t="s">
        <v>39</v>
      </c>
      <c r="E952" s="1" t="s">
        <v>133</v>
      </c>
      <c r="F952" s="1" t="s">
        <v>51</v>
      </c>
      <c r="G952" s="6">
        <v>45126</v>
      </c>
      <c r="H952" s="1">
        <v>2004</v>
      </c>
      <c r="I952" t="s">
        <v>19</v>
      </c>
      <c r="J952" s="1">
        <v>119</v>
      </c>
      <c r="K952" s="1" t="s">
        <v>28</v>
      </c>
      <c r="L952" s="1" t="s">
        <v>52</v>
      </c>
      <c r="M952" s="1">
        <v>4.0999999999999996</v>
      </c>
      <c r="N952" s="1">
        <v>24.32</v>
      </c>
      <c r="O952" s="1">
        <v>8662000</v>
      </c>
      <c r="P952" t="s">
        <v>2282</v>
      </c>
    </row>
    <row r="953" spans="1:16" x14ac:dyDescent="0.3">
      <c r="A953" s="1" t="s">
        <v>2153</v>
      </c>
      <c r="B953" s="1" t="s">
        <v>14</v>
      </c>
      <c r="C953" s="1" t="s">
        <v>2154</v>
      </c>
      <c r="D953" s="1" t="s">
        <v>31</v>
      </c>
      <c r="E953" s="1" t="s">
        <v>175</v>
      </c>
      <c r="F953" s="1" t="s">
        <v>18</v>
      </c>
      <c r="G953" s="6">
        <v>43074</v>
      </c>
      <c r="H953" s="1">
        <v>1993</v>
      </c>
      <c r="I953" t="s">
        <v>77</v>
      </c>
      <c r="J953" s="1">
        <v>1</v>
      </c>
      <c r="K953" s="1" t="s">
        <v>20</v>
      </c>
      <c r="L953" s="1" t="s">
        <v>46</v>
      </c>
      <c r="M953" s="1">
        <v>3.2</v>
      </c>
      <c r="N953" s="1">
        <v>148.22</v>
      </c>
      <c r="O953" s="1">
        <v>99502000</v>
      </c>
      <c r="P953" t="s">
        <v>2282</v>
      </c>
    </row>
    <row r="954" spans="1:16" hidden="1" x14ac:dyDescent="0.3">
      <c r="A954" s="1" t="s">
        <v>2155</v>
      </c>
      <c r="B954" s="1" t="s">
        <v>37</v>
      </c>
      <c r="C954" s="1" t="s">
        <v>2156</v>
      </c>
      <c r="D954" s="1" t="s">
        <v>49</v>
      </c>
      <c r="E954" s="1" t="s">
        <v>2157</v>
      </c>
      <c r="F954" s="1" t="s">
        <v>33</v>
      </c>
      <c r="G954" s="6">
        <v>44429</v>
      </c>
      <c r="H954" s="1">
        <v>1998</v>
      </c>
      <c r="I954" t="s">
        <v>34</v>
      </c>
      <c r="J954" s="1">
        <v>63</v>
      </c>
      <c r="K954" s="1" t="s">
        <v>28</v>
      </c>
      <c r="L954" s="1" t="s">
        <v>69</v>
      </c>
      <c r="M954" s="1">
        <v>8.8000000000000007</v>
      </c>
      <c r="N954" s="1">
        <v>77.81</v>
      </c>
      <c r="O954" s="1">
        <v>87442000</v>
      </c>
      <c r="P954" t="s">
        <v>2282</v>
      </c>
    </row>
    <row r="955" spans="1:16" hidden="1" x14ac:dyDescent="0.3">
      <c r="A955" s="1" t="s">
        <v>2158</v>
      </c>
      <c r="B955" s="1" t="s">
        <v>37</v>
      </c>
      <c r="C955" s="1" t="s">
        <v>2159</v>
      </c>
      <c r="D955" s="1" t="s">
        <v>31</v>
      </c>
      <c r="E955" s="1" t="s">
        <v>1566</v>
      </c>
      <c r="F955" s="1" t="s">
        <v>76</v>
      </c>
      <c r="G955" s="6">
        <v>45118</v>
      </c>
      <c r="H955" s="1">
        <v>2009</v>
      </c>
      <c r="I955" t="s">
        <v>27</v>
      </c>
      <c r="J955" s="1">
        <v>158</v>
      </c>
      <c r="K955" s="1" t="s">
        <v>28</v>
      </c>
      <c r="L955" s="1" t="s">
        <v>69</v>
      </c>
      <c r="M955" s="1">
        <v>6.5</v>
      </c>
      <c r="N955" s="1">
        <v>10.66</v>
      </c>
      <c r="O955" s="1">
        <v>44601000</v>
      </c>
      <c r="P955" t="s">
        <v>2282</v>
      </c>
    </row>
    <row r="956" spans="1:16" hidden="1" x14ac:dyDescent="0.3">
      <c r="A956" s="1" t="s">
        <v>2160</v>
      </c>
      <c r="B956" s="1" t="s">
        <v>37</v>
      </c>
      <c r="C956" s="1" t="s">
        <v>2161</v>
      </c>
      <c r="D956" s="1" t="s">
        <v>49</v>
      </c>
      <c r="E956" s="1" t="s">
        <v>222</v>
      </c>
      <c r="F956" s="1" t="s">
        <v>51</v>
      </c>
      <c r="G956" s="6">
        <v>43784</v>
      </c>
      <c r="H956" s="1">
        <v>1999</v>
      </c>
      <c r="I956" t="s">
        <v>55</v>
      </c>
      <c r="J956" s="1">
        <v>139</v>
      </c>
      <c r="K956" s="1" t="s">
        <v>28</v>
      </c>
      <c r="L956" s="1" t="s">
        <v>21</v>
      </c>
      <c r="M956" s="1">
        <v>6.5</v>
      </c>
      <c r="N956" s="1">
        <v>50.09</v>
      </c>
      <c r="O956" s="1">
        <v>1848000</v>
      </c>
      <c r="P956" t="s">
        <v>2281</v>
      </c>
    </row>
    <row r="957" spans="1:16" x14ac:dyDescent="0.3">
      <c r="A957" s="1" t="s">
        <v>2162</v>
      </c>
      <c r="B957" s="1" t="s">
        <v>14</v>
      </c>
      <c r="C957" s="1" t="s">
        <v>2163</v>
      </c>
      <c r="D957" s="1" t="s">
        <v>31</v>
      </c>
      <c r="E957" s="1" t="s">
        <v>153</v>
      </c>
      <c r="F957" s="1" t="s">
        <v>18</v>
      </c>
      <c r="G957" s="6">
        <v>43946</v>
      </c>
      <c r="H957" s="1">
        <v>1998</v>
      </c>
      <c r="I957" t="s">
        <v>55</v>
      </c>
      <c r="J957" s="1">
        <v>1</v>
      </c>
      <c r="K957" s="1" t="s">
        <v>20</v>
      </c>
      <c r="L957" s="1" t="s">
        <v>46</v>
      </c>
      <c r="M957" s="1">
        <v>8.5</v>
      </c>
      <c r="N957" s="1">
        <v>43.35</v>
      </c>
      <c r="O957" s="1">
        <v>80998000</v>
      </c>
      <c r="P957" t="s">
        <v>2282</v>
      </c>
    </row>
    <row r="958" spans="1:16" x14ac:dyDescent="0.3">
      <c r="A958" s="1" t="s">
        <v>2164</v>
      </c>
      <c r="B958" s="1" t="s">
        <v>14</v>
      </c>
      <c r="C958" s="1" t="s">
        <v>2165</v>
      </c>
      <c r="D958" s="1" t="s">
        <v>39</v>
      </c>
      <c r="E958" s="1" t="s">
        <v>123</v>
      </c>
      <c r="F958" s="1" t="s">
        <v>45</v>
      </c>
      <c r="G958" s="6">
        <v>42109</v>
      </c>
      <c r="H958" s="1">
        <v>1998</v>
      </c>
      <c r="I958" t="s">
        <v>55</v>
      </c>
      <c r="J958" s="1">
        <v>10</v>
      </c>
      <c r="K958" s="1" t="s">
        <v>20</v>
      </c>
      <c r="L958" s="1" t="s">
        <v>46</v>
      </c>
      <c r="M958" s="1">
        <v>3.5</v>
      </c>
      <c r="N958" s="1">
        <v>37.19</v>
      </c>
      <c r="O958" s="1">
        <v>59392000</v>
      </c>
      <c r="P958" t="s">
        <v>2281</v>
      </c>
    </row>
    <row r="959" spans="1:16" x14ac:dyDescent="0.3">
      <c r="A959" s="1" t="s">
        <v>2166</v>
      </c>
      <c r="B959" s="1" t="s">
        <v>14</v>
      </c>
      <c r="C959" s="1" t="s">
        <v>2167</v>
      </c>
      <c r="D959" s="1" t="s">
        <v>72</v>
      </c>
      <c r="E959" s="1" t="s">
        <v>40</v>
      </c>
      <c r="F959" s="1" t="s">
        <v>33</v>
      </c>
      <c r="G959" s="6">
        <v>42340</v>
      </c>
      <c r="H959" s="1">
        <v>1997</v>
      </c>
      <c r="I959" t="s">
        <v>27</v>
      </c>
      <c r="J959" s="1">
        <v>8</v>
      </c>
      <c r="K959" s="1" t="s">
        <v>20</v>
      </c>
      <c r="L959" s="1" t="s">
        <v>52</v>
      </c>
      <c r="M959" s="1">
        <v>2.2999999999999998</v>
      </c>
      <c r="N959" s="1">
        <v>73.67</v>
      </c>
      <c r="O959" s="1">
        <v>36531000</v>
      </c>
      <c r="P959" t="s">
        <v>2281</v>
      </c>
    </row>
    <row r="960" spans="1:16" x14ac:dyDescent="0.3">
      <c r="A960" s="1" t="s">
        <v>2168</v>
      </c>
      <c r="B960" s="1" t="s">
        <v>14</v>
      </c>
      <c r="C960" s="1" t="s">
        <v>2169</v>
      </c>
      <c r="D960" s="1" t="s">
        <v>31</v>
      </c>
      <c r="E960" s="1" t="s">
        <v>72</v>
      </c>
      <c r="F960" s="1" t="s">
        <v>45</v>
      </c>
      <c r="G960" s="6">
        <v>45237</v>
      </c>
      <c r="H960" s="1">
        <v>2023</v>
      </c>
      <c r="I960" t="s">
        <v>55</v>
      </c>
      <c r="J960" s="1">
        <v>3</v>
      </c>
      <c r="K960" s="1" t="s">
        <v>20</v>
      </c>
      <c r="L960" s="1" t="s">
        <v>21</v>
      </c>
      <c r="M960" s="1">
        <v>1.1000000000000001</v>
      </c>
      <c r="N960" s="1">
        <v>95.21</v>
      </c>
      <c r="O960" s="1">
        <v>75457000</v>
      </c>
      <c r="P960" t="s">
        <v>2281</v>
      </c>
    </row>
    <row r="961" spans="1:16" x14ac:dyDescent="0.3">
      <c r="A961" s="1" t="s">
        <v>2170</v>
      </c>
      <c r="B961" s="1" t="s">
        <v>14</v>
      </c>
      <c r="C961" s="1" t="s">
        <v>2171</v>
      </c>
      <c r="D961" s="1" t="s">
        <v>39</v>
      </c>
      <c r="E961" s="1" t="s">
        <v>72</v>
      </c>
      <c r="F961" s="1" t="s">
        <v>59</v>
      </c>
      <c r="G961" s="6">
        <v>42435</v>
      </c>
      <c r="H961" s="1">
        <v>2005</v>
      </c>
      <c r="I961" t="s">
        <v>34</v>
      </c>
      <c r="J961" s="1">
        <v>2</v>
      </c>
      <c r="K961" s="1" t="s">
        <v>20</v>
      </c>
      <c r="L961" s="1" t="s">
        <v>52</v>
      </c>
      <c r="M961" s="1">
        <v>3.3</v>
      </c>
      <c r="N961" s="1">
        <v>22.06</v>
      </c>
      <c r="O961" s="1">
        <v>23146000</v>
      </c>
      <c r="P961" t="s">
        <v>2281</v>
      </c>
    </row>
    <row r="962" spans="1:16" hidden="1" x14ac:dyDescent="0.3">
      <c r="A962" s="1" t="s">
        <v>2172</v>
      </c>
      <c r="B962" s="1" t="s">
        <v>37</v>
      </c>
      <c r="C962" s="1" t="s">
        <v>2173</v>
      </c>
      <c r="D962" s="1" t="s">
        <v>49</v>
      </c>
      <c r="E962" s="1" t="s">
        <v>83</v>
      </c>
      <c r="F962" s="1" t="s">
        <v>18</v>
      </c>
      <c r="G962" s="6">
        <v>42154</v>
      </c>
      <c r="H962" s="1">
        <v>1990</v>
      </c>
      <c r="I962" t="s">
        <v>77</v>
      </c>
      <c r="J962" s="1">
        <v>139</v>
      </c>
      <c r="K962" s="1" t="s">
        <v>28</v>
      </c>
      <c r="L962" s="1" t="s">
        <v>46</v>
      </c>
      <c r="M962" s="1">
        <v>8.4</v>
      </c>
      <c r="N962" s="1">
        <v>93.14</v>
      </c>
      <c r="O962" s="1">
        <v>96137000</v>
      </c>
      <c r="P962" t="s">
        <v>2282</v>
      </c>
    </row>
    <row r="963" spans="1:16" hidden="1" x14ac:dyDescent="0.3">
      <c r="A963" s="1" t="s">
        <v>2174</v>
      </c>
      <c r="B963" s="1" t="s">
        <v>37</v>
      </c>
      <c r="C963" s="1" t="s">
        <v>2175</v>
      </c>
      <c r="D963" s="1" t="s">
        <v>24</v>
      </c>
      <c r="E963" s="1" t="s">
        <v>141</v>
      </c>
      <c r="F963" s="1" t="s">
        <v>76</v>
      </c>
      <c r="G963" s="6">
        <v>44889</v>
      </c>
      <c r="H963" s="1">
        <v>2006</v>
      </c>
      <c r="I963" t="s">
        <v>77</v>
      </c>
      <c r="J963" s="1">
        <v>80</v>
      </c>
      <c r="K963" s="1" t="s">
        <v>28</v>
      </c>
      <c r="L963" s="1" t="s">
        <v>41</v>
      </c>
      <c r="M963" s="1">
        <v>5.7</v>
      </c>
      <c r="N963" s="1">
        <v>7.57</v>
      </c>
      <c r="O963" s="1">
        <v>52815000</v>
      </c>
      <c r="P963" t="s">
        <v>2282</v>
      </c>
    </row>
    <row r="964" spans="1:16" hidden="1" x14ac:dyDescent="0.3">
      <c r="A964" s="1" t="s">
        <v>2176</v>
      </c>
      <c r="B964" s="1" t="s">
        <v>37</v>
      </c>
      <c r="C964" s="1" t="s">
        <v>2177</v>
      </c>
      <c r="D964" s="1" t="s">
        <v>49</v>
      </c>
      <c r="E964" s="1" t="s">
        <v>2178</v>
      </c>
      <c r="F964" s="1" t="s">
        <v>33</v>
      </c>
      <c r="G964" s="6">
        <v>42850</v>
      </c>
      <c r="H964" s="1">
        <v>1997</v>
      </c>
      <c r="I964" t="s">
        <v>19</v>
      </c>
      <c r="J964" s="1">
        <v>173</v>
      </c>
      <c r="K964" s="1" t="s">
        <v>28</v>
      </c>
      <c r="L964" s="1" t="s">
        <v>69</v>
      </c>
      <c r="M964" s="1">
        <v>1.8</v>
      </c>
      <c r="N964" s="1">
        <v>19.5</v>
      </c>
      <c r="O964" s="1">
        <v>12923000</v>
      </c>
      <c r="P964" t="s">
        <v>2282</v>
      </c>
    </row>
    <row r="965" spans="1:16" x14ac:dyDescent="0.3">
      <c r="A965" s="1" t="s">
        <v>2179</v>
      </c>
      <c r="B965" s="1" t="s">
        <v>14</v>
      </c>
      <c r="C965" s="1" t="s">
        <v>2180</v>
      </c>
      <c r="D965" s="1" t="s">
        <v>49</v>
      </c>
      <c r="E965" s="1" t="s">
        <v>668</v>
      </c>
      <c r="F965" s="1" t="s">
        <v>45</v>
      </c>
      <c r="G965" s="6">
        <v>42809</v>
      </c>
      <c r="H965" s="1">
        <v>1999</v>
      </c>
      <c r="I965" t="s">
        <v>89</v>
      </c>
      <c r="J965" s="1">
        <v>5</v>
      </c>
      <c r="K965" s="1" t="s">
        <v>20</v>
      </c>
      <c r="L965" s="1" t="s">
        <v>46</v>
      </c>
      <c r="M965" s="1">
        <v>5.0999999999999996</v>
      </c>
      <c r="N965" s="1">
        <v>96.65</v>
      </c>
      <c r="O965" s="1">
        <v>99123000</v>
      </c>
      <c r="P965" t="s">
        <v>2281</v>
      </c>
    </row>
    <row r="966" spans="1:16" hidden="1" x14ac:dyDescent="0.3">
      <c r="A966" s="1" t="s">
        <v>2181</v>
      </c>
      <c r="B966" s="1" t="s">
        <v>37</v>
      </c>
      <c r="C966" s="1" t="s">
        <v>2182</v>
      </c>
      <c r="D966" s="1" t="s">
        <v>62</v>
      </c>
      <c r="E966" s="1" t="s">
        <v>2183</v>
      </c>
      <c r="F966" s="1" t="s">
        <v>51</v>
      </c>
      <c r="G966" s="6">
        <v>44797</v>
      </c>
      <c r="H966" s="1">
        <v>1993</v>
      </c>
      <c r="I966" t="s">
        <v>77</v>
      </c>
      <c r="J966" s="1">
        <v>148</v>
      </c>
      <c r="K966" s="1" t="s">
        <v>28</v>
      </c>
      <c r="L966" s="1" t="s">
        <v>35</v>
      </c>
      <c r="M966" s="1">
        <v>8</v>
      </c>
      <c r="N966" s="1">
        <v>68.64</v>
      </c>
      <c r="O966" s="1">
        <v>82590000</v>
      </c>
      <c r="P966" t="s">
        <v>2282</v>
      </c>
    </row>
    <row r="967" spans="1:16" x14ac:dyDescent="0.3">
      <c r="A967" s="1" t="s">
        <v>2184</v>
      </c>
      <c r="B967" s="1" t="s">
        <v>14</v>
      </c>
      <c r="C967" s="1" t="s">
        <v>2185</v>
      </c>
      <c r="D967" s="1" t="s">
        <v>62</v>
      </c>
      <c r="E967" s="1" t="s">
        <v>50</v>
      </c>
      <c r="F967" s="1" t="s">
        <v>158</v>
      </c>
      <c r="G967" s="6">
        <v>43025</v>
      </c>
      <c r="H967" s="1">
        <v>1999</v>
      </c>
      <c r="I967" t="s">
        <v>19</v>
      </c>
      <c r="J967" s="1">
        <v>9</v>
      </c>
      <c r="K967" s="1" t="s">
        <v>20</v>
      </c>
      <c r="L967" s="1" t="s">
        <v>35</v>
      </c>
      <c r="M967" s="1">
        <v>3.6</v>
      </c>
      <c r="N967" s="1">
        <v>63.99</v>
      </c>
      <c r="O967" s="1">
        <v>9418000</v>
      </c>
      <c r="P967" t="s">
        <v>2281</v>
      </c>
    </row>
    <row r="968" spans="1:16" x14ac:dyDescent="0.3">
      <c r="A968" s="1" t="s">
        <v>2186</v>
      </c>
      <c r="B968" s="1" t="s">
        <v>14</v>
      </c>
      <c r="C968" s="1" t="s">
        <v>2187</v>
      </c>
      <c r="D968" s="1" t="s">
        <v>24</v>
      </c>
      <c r="E968" s="1" t="s">
        <v>1755</v>
      </c>
      <c r="F968" s="1" t="s">
        <v>59</v>
      </c>
      <c r="G968" s="6">
        <v>44147</v>
      </c>
      <c r="H968" s="1">
        <v>1997</v>
      </c>
      <c r="I968" t="s">
        <v>77</v>
      </c>
      <c r="J968" s="1">
        <v>4</v>
      </c>
      <c r="K968" s="1" t="s">
        <v>20</v>
      </c>
      <c r="L968" s="1" t="s">
        <v>52</v>
      </c>
      <c r="M968" s="1">
        <v>1.5</v>
      </c>
      <c r="N968" s="1">
        <v>15.25</v>
      </c>
      <c r="O968" s="1">
        <v>89961000</v>
      </c>
      <c r="P968" t="s">
        <v>2282</v>
      </c>
    </row>
    <row r="969" spans="1:16" x14ac:dyDescent="0.3">
      <c r="A969" s="1" t="s">
        <v>2188</v>
      </c>
      <c r="B969" s="1" t="s">
        <v>14</v>
      </c>
      <c r="C969" s="1" t="s">
        <v>2189</v>
      </c>
      <c r="D969" s="1" t="s">
        <v>39</v>
      </c>
      <c r="E969" s="1" t="s">
        <v>1566</v>
      </c>
      <c r="F969" s="1" t="s">
        <v>59</v>
      </c>
      <c r="G969" s="6">
        <v>43181</v>
      </c>
      <c r="H969" s="1">
        <v>2020</v>
      </c>
      <c r="I969" t="s">
        <v>77</v>
      </c>
      <c r="J969" s="1">
        <v>6</v>
      </c>
      <c r="K969" s="1" t="s">
        <v>20</v>
      </c>
      <c r="L969" s="1" t="s">
        <v>21</v>
      </c>
      <c r="M969" s="1">
        <v>7.8</v>
      </c>
      <c r="N969" s="1">
        <v>136.72999999999999</v>
      </c>
      <c r="O969" s="1">
        <v>48750000</v>
      </c>
      <c r="P969" t="s">
        <v>2282</v>
      </c>
    </row>
    <row r="970" spans="1:16" hidden="1" x14ac:dyDescent="0.3">
      <c r="A970" s="1" t="s">
        <v>2190</v>
      </c>
      <c r="B970" s="1" t="s">
        <v>37</v>
      </c>
      <c r="C970" s="1" t="s">
        <v>2191</v>
      </c>
      <c r="D970" s="1" t="s">
        <v>24</v>
      </c>
      <c r="E970" s="1" t="s">
        <v>25</v>
      </c>
      <c r="F970" s="1" t="s">
        <v>51</v>
      </c>
      <c r="G970" s="6">
        <v>45138</v>
      </c>
      <c r="H970" s="1">
        <v>2003</v>
      </c>
      <c r="I970" t="s">
        <v>34</v>
      </c>
      <c r="J970" s="1">
        <v>116</v>
      </c>
      <c r="K970" s="1" t="s">
        <v>28</v>
      </c>
      <c r="L970" s="1" t="s">
        <v>52</v>
      </c>
      <c r="M970" s="1">
        <v>3.9</v>
      </c>
      <c r="N970" s="1">
        <v>142.07</v>
      </c>
      <c r="O970" s="1">
        <v>60894000</v>
      </c>
      <c r="P970" t="s">
        <v>2282</v>
      </c>
    </row>
    <row r="971" spans="1:16" x14ac:dyDescent="0.3">
      <c r="A971" s="1" t="s">
        <v>2192</v>
      </c>
      <c r="B971" s="1" t="s">
        <v>14</v>
      </c>
      <c r="C971" s="1" t="s">
        <v>2193</v>
      </c>
      <c r="D971" s="1" t="s">
        <v>62</v>
      </c>
      <c r="E971" s="1" t="s">
        <v>141</v>
      </c>
      <c r="F971" s="1" t="s">
        <v>18</v>
      </c>
      <c r="G971" s="6">
        <v>42303</v>
      </c>
      <c r="H971" s="1">
        <v>1990</v>
      </c>
      <c r="I971" t="s">
        <v>89</v>
      </c>
      <c r="J971" s="1">
        <v>7</v>
      </c>
      <c r="K971" s="1" t="s">
        <v>20</v>
      </c>
      <c r="L971" s="1" t="s">
        <v>41</v>
      </c>
      <c r="M971" s="1">
        <v>2.2999999999999998</v>
      </c>
      <c r="N971" s="1">
        <v>46.78</v>
      </c>
      <c r="O971" s="1">
        <v>71251000</v>
      </c>
      <c r="P971" t="s">
        <v>2282</v>
      </c>
    </row>
    <row r="972" spans="1:16" x14ac:dyDescent="0.3">
      <c r="A972" s="1" t="s">
        <v>2194</v>
      </c>
      <c r="B972" s="1" t="s">
        <v>14</v>
      </c>
      <c r="C972" s="1" t="s">
        <v>2195</v>
      </c>
      <c r="D972" s="1" t="s">
        <v>24</v>
      </c>
      <c r="E972" s="1" t="s">
        <v>58</v>
      </c>
      <c r="F972" s="1" t="s">
        <v>26</v>
      </c>
      <c r="G972" s="6">
        <v>42818</v>
      </c>
      <c r="H972" s="1">
        <v>1992</v>
      </c>
      <c r="I972" t="s">
        <v>27</v>
      </c>
      <c r="J972" s="1">
        <v>4</v>
      </c>
      <c r="K972" s="1" t="s">
        <v>20</v>
      </c>
      <c r="L972" s="1" t="s">
        <v>35</v>
      </c>
      <c r="M972" s="1">
        <v>9.1</v>
      </c>
      <c r="N972" s="1">
        <v>44.06</v>
      </c>
      <c r="O972" s="1">
        <v>75560000</v>
      </c>
      <c r="P972" t="s">
        <v>2281</v>
      </c>
    </row>
    <row r="973" spans="1:16" x14ac:dyDescent="0.3">
      <c r="A973" s="1" t="s">
        <v>2196</v>
      </c>
      <c r="B973" s="1" t="s">
        <v>14</v>
      </c>
      <c r="C973" s="1" t="s">
        <v>2197</v>
      </c>
      <c r="D973" s="1" t="s">
        <v>72</v>
      </c>
      <c r="E973" s="1" t="s">
        <v>354</v>
      </c>
      <c r="F973" s="1" t="s">
        <v>76</v>
      </c>
      <c r="G973" s="6">
        <v>43018</v>
      </c>
      <c r="H973" s="1">
        <v>1995</v>
      </c>
      <c r="I973" t="s">
        <v>89</v>
      </c>
      <c r="J973" s="1">
        <v>6</v>
      </c>
      <c r="K973" s="1" t="s">
        <v>20</v>
      </c>
      <c r="L973" s="1" t="s">
        <v>69</v>
      </c>
      <c r="M973" s="1">
        <v>8.4</v>
      </c>
      <c r="N973" s="1">
        <v>61.54</v>
      </c>
      <c r="O973" s="1">
        <v>97260000</v>
      </c>
      <c r="P973" t="s">
        <v>2281</v>
      </c>
    </row>
    <row r="974" spans="1:16" x14ac:dyDescent="0.3">
      <c r="A974" s="1" t="s">
        <v>2198</v>
      </c>
      <c r="B974" s="1" t="s">
        <v>14</v>
      </c>
      <c r="C974" s="1" t="s">
        <v>2199</v>
      </c>
      <c r="D974" s="1" t="s">
        <v>16</v>
      </c>
      <c r="E974" s="1" t="s">
        <v>133</v>
      </c>
      <c r="F974" s="1" t="s">
        <v>26</v>
      </c>
      <c r="G974" s="6">
        <v>44480</v>
      </c>
      <c r="H974" s="1">
        <v>2011</v>
      </c>
      <c r="I974" t="s">
        <v>55</v>
      </c>
      <c r="J974" s="1">
        <v>6</v>
      </c>
      <c r="K974" s="1" t="s">
        <v>20</v>
      </c>
      <c r="L974" s="1" t="s">
        <v>35</v>
      </c>
      <c r="M974" s="1">
        <v>1.9</v>
      </c>
      <c r="N974" s="1">
        <v>88.55</v>
      </c>
      <c r="O974" s="1">
        <v>81679000</v>
      </c>
      <c r="P974" t="s">
        <v>2281</v>
      </c>
    </row>
    <row r="975" spans="1:16" x14ac:dyDescent="0.3">
      <c r="A975" s="1" t="s">
        <v>2200</v>
      </c>
      <c r="B975" s="1" t="s">
        <v>14</v>
      </c>
      <c r="C975" s="1" t="s">
        <v>2201</v>
      </c>
      <c r="D975" s="1" t="s">
        <v>31</v>
      </c>
      <c r="E975" s="1" t="s">
        <v>309</v>
      </c>
      <c r="F975" s="1" t="s">
        <v>18</v>
      </c>
      <c r="G975" s="6">
        <v>45215</v>
      </c>
      <c r="H975" s="1">
        <v>2014</v>
      </c>
      <c r="I975" t="s">
        <v>89</v>
      </c>
      <c r="J975" s="1">
        <v>8</v>
      </c>
      <c r="K975" s="1" t="s">
        <v>20</v>
      </c>
      <c r="L975" s="1" t="s">
        <v>52</v>
      </c>
      <c r="M975" s="1">
        <v>999</v>
      </c>
      <c r="N975" s="1">
        <v>88.39</v>
      </c>
      <c r="O975" s="1">
        <v>97328000</v>
      </c>
      <c r="P975" t="s">
        <v>2282</v>
      </c>
    </row>
    <row r="976" spans="1:16" hidden="1" x14ac:dyDescent="0.3">
      <c r="A976" s="1" t="s">
        <v>2202</v>
      </c>
      <c r="B976" s="1" t="s">
        <v>37</v>
      </c>
      <c r="C976" s="1" t="s">
        <v>2203</v>
      </c>
      <c r="D976" s="1" t="s">
        <v>16</v>
      </c>
      <c r="E976" s="1" t="s">
        <v>1558</v>
      </c>
      <c r="F976" s="1" t="s">
        <v>59</v>
      </c>
      <c r="G976" s="6">
        <v>42287</v>
      </c>
      <c r="H976" s="1">
        <v>2006</v>
      </c>
      <c r="I976" t="s">
        <v>34</v>
      </c>
      <c r="J976" s="1">
        <v>93</v>
      </c>
      <c r="K976" s="1" t="s">
        <v>28</v>
      </c>
      <c r="L976" s="1" t="s">
        <v>41</v>
      </c>
      <c r="M976" s="1">
        <v>7.7</v>
      </c>
      <c r="N976" s="1">
        <v>135.15</v>
      </c>
      <c r="O976" s="1">
        <v>9105000</v>
      </c>
      <c r="P976" t="s">
        <v>2281</v>
      </c>
    </row>
    <row r="977" spans="1:16" hidden="1" x14ac:dyDescent="0.3">
      <c r="A977" s="1" t="s">
        <v>2204</v>
      </c>
      <c r="B977" s="1" t="s">
        <v>37</v>
      </c>
      <c r="C977" s="1" t="s">
        <v>2205</v>
      </c>
      <c r="D977" s="1" t="s">
        <v>24</v>
      </c>
      <c r="E977" s="1" t="s">
        <v>364</v>
      </c>
      <c r="F977" s="1" t="s">
        <v>76</v>
      </c>
      <c r="G977" s="6">
        <v>43515</v>
      </c>
      <c r="H977" s="1">
        <v>2019</v>
      </c>
      <c r="I977" t="s">
        <v>55</v>
      </c>
      <c r="J977" s="1">
        <v>159</v>
      </c>
      <c r="K977" s="1" t="s">
        <v>28</v>
      </c>
      <c r="L977" s="1" t="s">
        <v>46</v>
      </c>
      <c r="M977" s="1">
        <v>4.2</v>
      </c>
      <c r="N977" s="1">
        <v>15.82</v>
      </c>
      <c r="O977" s="1">
        <v>7892000</v>
      </c>
      <c r="P977" t="s">
        <v>2282</v>
      </c>
    </row>
    <row r="978" spans="1:16" hidden="1" x14ac:dyDescent="0.3">
      <c r="A978" s="1" t="s">
        <v>2206</v>
      </c>
      <c r="B978" s="1" t="s">
        <v>37</v>
      </c>
      <c r="C978" s="1" t="s">
        <v>2207</v>
      </c>
      <c r="D978" s="1" t="s">
        <v>72</v>
      </c>
      <c r="E978" s="1" t="s">
        <v>372</v>
      </c>
      <c r="F978" s="1" t="s">
        <v>51</v>
      </c>
      <c r="G978" s="6">
        <v>44757</v>
      </c>
      <c r="H978" s="1">
        <v>2006</v>
      </c>
      <c r="I978" t="s">
        <v>27</v>
      </c>
      <c r="J978" s="1">
        <v>74</v>
      </c>
      <c r="K978" s="1" t="s">
        <v>28</v>
      </c>
      <c r="L978" s="1" t="s">
        <v>46</v>
      </c>
      <c r="M978" s="1">
        <v>3.2</v>
      </c>
      <c r="N978" s="1">
        <v>89.4</v>
      </c>
      <c r="O978" s="1">
        <v>55587000</v>
      </c>
      <c r="P978" t="s">
        <v>2281</v>
      </c>
    </row>
    <row r="979" spans="1:16" hidden="1" x14ac:dyDescent="0.3">
      <c r="A979" s="1" t="s">
        <v>2208</v>
      </c>
      <c r="B979" s="1" t="s">
        <v>37</v>
      </c>
      <c r="C979" s="1" t="s">
        <v>2209</v>
      </c>
      <c r="D979" s="1" t="s">
        <v>39</v>
      </c>
      <c r="E979" s="1" t="s">
        <v>1373</v>
      </c>
      <c r="F979" s="1" t="s">
        <v>33</v>
      </c>
      <c r="G979" s="6">
        <v>43949</v>
      </c>
      <c r="H979" s="1">
        <v>2008</v>
      </c>
      <c r="I979" t="s">
        <v>89</v>
      </c>
      <c r="J979" s="1">
        <v>171</v>
      </c>
      <c r="K979" s="1" t="s">
        <v>28</v>
      </c>
      <c r="L979" s="1" t="s">
        <v>41</v>
      </c>
      <c r="M979" s="1">
        <v>999</v>
      </c>
      <c r="N979" s="1">
        <v>6.77</v>
      </c>
      <c r="O979" s="1">
        <v>10367000</v>
      </c>
      <c r="P979" t="s">
        <v>2282</v>
      </c>
    </row>
    <row r="980" spans="1:16" hidden="1" x14ac:dyDescent="0.3">
      <c r="A980" s="1" t="s">
        <v>2210</v>
      </c>
      <c r="B980" s="1" t="s">
        <v>37</v>
      </c>
      <c r="C980" s="1" t="s">
        <v>2211</v>
      </c>
      <c r="D980" s="1" t="s">
        <v>24</v>
      </c>
      <c r="E980" s="1" t="s">
        <v>17</v>
      </c>
      <c r="F980" s="1" t="s">
        <v>45</v>
      </c>
      <c r="G980" s="6">
        <v>44049</v>
      </c>
      <c r="H980" s="1">
        <v>2021</v>
      </c>
      <c r="I980" t="s">
        <v>34</v>
      </c>
      <c r="J980" s="1">
        <v>96</v>
      </c>
      <c r="K980" s="1" t="s">
        <v>28</v>
      </c>
      <c r="L980" s="1" t="s">
        <v>46</v>
      </c>
      <c r="M980" s="1">
        <v>7.8</v>
      </c>
      <c r="N980" s="1">
        <v>41.73</v>
      </c>
      <c r="O980" s="1">
        <v>70695000</v>
      </c>
      <c r="P980" t="s">
        <v>2282</v>
      </c>
    </row>
    <row r="981" spans="1:16" hidden="1" x14ac:dyDescent="0.3">
      <c r="A981" s="1" t="s">
        <v>2212</v>
      </c>
      <c r="B981" s="1" t="s">
        <v>37</v>
      </c>
      <c r="C981" s="1" t="s">
        <v>2213</v>
      </c>
      <c r="D981" s="1" t="s">
        <v>62</v>
      </c>
      <c r="E981" s="1" t="s">
        <v>17</v>
      </c>
      <c r="F981" s="1" t="s">
        <v>51</v>
      </c>
      <c r="G981" s="6">
        <v>44867</v>
      </c>
      <c r="H981" s="1">
        <v>2007</v>
      </c>
      <c r="I981" t="s">
        <v>89</v>
      </c>
      <c r="J981" s="1">
        <v>66</v>
      </c>
      <c r="K981" s="1" t="s">
        <v>28</v>
      </c>
      <c r="L981" s="1" t="s">
        <v>35</v>
      </c>
      <c r="M981" s="1">
        <v>6.9</v>
      </c>
      <c r="N981" s="1">
        <v>104.23</v>
      </c>
      <c r="O981" s="1">
        <v>90221000</v>
      </c>
      <c r="P981" t="s">
        <v>2281</v>
      </c>
    </row>
    <row r="982" spans="1:16" hidden="1" x14ac:dyDescent="0.3">
      <c r="A982" s="1" t="s">
        <v>2214</v>
      </c>
      <c r="B982" s="1" t="s">
        <v>37</v>
      </c>
      <c r="C982" s="1" t="s">
        <v>2215</v>
      </c>
      <c r="D982" s="1" t="s">
        <v>49</v>
      </c>
      <c r="E982" s="1" t="s">
        <v>50</v>
      </c>
      <c r="F982" s="1" t="s">
        <v>76</v>
      </c>
      <c r="G982" s="6">
        <v>43867</v>
      </c>
      <c r="H982" s="1">
        <v>2017</v>
      </c>
      <c r="I982" t="s">
        <v>19</v>
      </c>
      <c r="J982" s="1">
        <v>131</v>
      </c>
      <c r="K982" s="1" t="s">
        <v>28</v>
      </c>
      <c r="L982" s="1" t="s">
        <v>35</v>
      </c>
      <c r="M982" s="1">
        <v>3.4</v>
      </c>
      <c r="N982" s="1">
        <v>135.03</v>
      </c>
      <c r="O982" s="1">
        <v>85131000</v>
      </c>
      <c r="P982" t="s">
        <v>2281</v>
      </c>
    </row>
    <row r="983" spans="1:16" hidden="1" x14ac:dyDescent="0.3">
      <c r="A983" s="1" t="s">
        <v>2216</v>
      </c>
      <c r="B983" s="1" t="s">
        <v>37</v>
      </c>
      <c r="C983" s="1" t="s">
        <v>2217</v>
      </c>
      <c r="D983" s="1" t="s">
        <v>62</v>
      </c>
      <c r="E983" s="1" t="s">
        <v>347</v>
      </c>
      <c r="F983" s="1" t="s">
        <v>33</v>
      </c>
      <c r="G983" s="6">
        <v>45162</v>
      </c>
      <c r="H983" s="1">
        <v>2008</v>
      </c>
      <c r="I983" t="s">
        <v>34</v>
      </c>
      <c r="J983" s="1">
        <v>179</v>
      </c>
      <c r="K983" s="1" t="s">
        <v>28</v>
      </c>
      <c r="L983" s="1" t="s">
        <v>41</v>
      </c>
      <c r="M983" s="1">
        <v>1.7</v>
      </c>
      <c r="N983" s="1">
        <v>77.69</v>
      </c>
      <c r="O983" s="1">
        <v>72723000</v>
      </c>
      <c r="P983" t="s">
        <v>2282</v>
      </c>
    </row>
    <row r="984" spans="1:16" hidden="1" x14ac:dyDescent="0.3">
      <c r="A984" s="1" t="s">
        <v>2218</v>
      </c>
      <c r="B984" s="1" t="s">
        <v>37</v>
      </c>
      <c r="C984" s="1" t="s">
        <v>2219</v>
      </c>
      <c r="D984" s="1" t="s">
        <v>31</v>
      </c>
      <c r="E984" s="1" t="s">
        <v>111</v>
      </c>
      <c r="F984" s="1" t="s">
        <v>45</v>
      </c>
      <c r="G984" s="6">
        <v>44941</v>
      </c>
      <c r="H984" s="1">
        <v>2007</v>
      </c>
      <c r="I984" t="s">
        <v>34</v>
      </c>
      <c r="J984" s="1">
        <v>166</v>
      </c>
      <c r="K984" s="1" t="s">
        <v>28</v>
      </c>
      <c r="L984" s="1" t="s">
        <v>21</v>
      </c>
      <c r="M984" s="1">
        <v>9.8000000000000007</v>
      </c>
      <c r="N984" s="1">
        <v>46.59</v>
      </c>
      <c r="O984" s="1">
        <v>18461000</v>
      </c>
      <c r="P984" t="s">
        <v>2281</v>
      </c>
    </row>
    <row r="985" spans="1:16" x14ac:dyDescent="0.3">
      <c r="A985" s="1" t="s">
        <v>2220</v>
      </c>
      <c r="B985" s="1" t="s">
        <v>14</v>
      </c>
      <c r="C985" s="1" t="s">
        <v>2221</v>
      </c>
      <c r="D985" s="1" t="s">
        <v>72</v>
      </c>
      <c r="E985" s="1" t="s">
        <v>201</v>
      </c>
      <c r="F985" s="1" t="s">
        <v>18</v>
      </c>
      <c r="G985" s="6">
        <v>43532</v>
      </c>
      <c r="H985" s="1">
        <v>2015</v>
      </c>
      <c r="I985" t="s">
        <v>89</v>
      </c>
      <c r="J985" s="1">
        <v>5</v>
      </c>
      <c r="K985" s="1" t="s">
        <v>20</v>
      </c>
      <c r="L985" s="1" t="s">
        <v>21</v>
      </c>
      <c r="M985" s="1">
        <v>4.2</v>
      </c>
      <c r="N985" s="1">
        <v>13.2</v>
      </c>
      <c r="O985" s="1">
        <v>43303000</v>
      </c>
      <c r="P985" t="s">
        <v>2282</v>
      </c>
    </row>
    <row r="986" spans="1:16" x14ac:dyDescent="0.3">
      <c r="A986" s="1" t="s">
        <v>2222</v>
      </c>
      <c r="B986" s="1" t="s">
        <v>14</v>
      </c>
      <c r="C986" s="1" t="s">
        <v>2223</v>
      </c>
      <c r="D986" s="1" t="s">
        <v>62</v>
      </c>
      <c r="E986" s="1" t="s">
        <v>862</v>
      </c>
      <c r="F986" s="1" t="s">
        <v>45</v>
      </c>
      <c r="G986" s="6">
        <v>42193</v>
      </c>
      <c r="H986" s="1">
        <v>2006</v>
      </c>
      <c r="I986" t="s">
        <v>34</v>
      </c>
      <c r="J986" s="1">
        <v>9</v>
      </c>
      <c r="K986" s="1" t="s">
        <v>20</v>
      </c>
      <c r="L986" s="1" t="s">
        <v>41</v>
      </c>
      <c r="M986" s="1">
        <v>8.6</v>
      </c>
      <c r="N986" s="1">
        <v>149.16</v>
      </c>
      <c r="O986" s="1">
        <v>13107000</v>
      </c>
      <c r="P986" t="s">
        <v>2281</v>
      </c>
    </row>
    <row r="987" spans="1:16" hidden="1" x14ac:dyDescent="0.3">
      <c r="A987" s="1" t="s">
        <v>2224</v>
      </c>
      <c r="B987" s="1" t="s">
        <v>37</v>
      </c>
      <c r="C987" s="1" t="s">
        <v>2225</v>
      </c>
      <c r="D987" s="1" t="s">
        <v>72</v>
      </c>
      <c r="E987" s="1" t="s">
        <v>63</v>
      </c>
      <c r="F987" s="1" t="s">
        <v>51</v>
      </c>
      <c r="G987" s="6">
        <v>44337</v>
      </c>
      <c r="H987" s="1">
        <v>2021</v>
      </c>
      <c r="I987" t="s">
        <v>34</v>
      </c>
      <c r="J987" s="1">
        <v>85</v>
      </c>
      <c r="K987" s="1" t="s">
        <v>28</v>
      </c>
      <c r="L987" s="1" t="s">
        <v>35</v>
      </c>
      <c r="M987" s="1">
        <v>3</v>
      </c>
      <c r="N987" s="1">
        <v>65.87</v>
      </c>
      <c r="O987" s="1">
        <v>25450000</v>
      </c>
      <c r="P987" t="s">
        <v>2281</v>
      </c>
    </row>
    <row r="988" spans="1:16" x14ac:dyDescent="0.3">
      <c r="A988" s="1" t="s">
        <v>2226</v>
      </c>
      <c r="B988" s="1" t="s">
        <v>14</v>
      </c>
      <c r="C988" s="1" t="s">
        <v>2227</v>
      </c>
      <c r="D988" s="1" t="s">
        <v>62</v>
      </c>
      <c r="E988" s="1" t="s">
        <v>120</v>
      </c>
      <c r="F988" s="1" t="s">
        <v>59</v>
      </c>
      <c r="G988" s="6">
        <v>44538</v>
      </c>
      <c r="H988" s="1">
        <v>2008</v>
      </c>
      <c r="I988" t="s">
        <v>34</v>
      </c>
      <c r="J988" s="1">
        <v>7</v>
      </c>
      <c r="K988" s="1" t="s">
        <v>20</v>
      </c>
      <c r="L988" s="1" t="s">
        <v>35</v>
      </c>
      <c r="M988" s="1">
        <v>5.2</v>
      </c>
      <c r="N988" s="1">
        <v>19.09</v>
      </c>
      <c r="O988" s="1">
        <v>79132000</v>
      </c>
      <c r="P988" t="s">
        <v>2282</v>
      </c>
    </row>
    <row r="989" spans="1:16" hidden="1" x14ac:dyDescent="0.3">
      <c r="A989" s="1" t="s">
        <v>2228</v>
      </c>
      <c r="B989" s="1" t="s">
        <v>37</v>
      </c>
      <c r="C989" s="1" t="s">
        <v>2229</v>
      </c>
      <c r="D989" s="1" t="s">
        <v>72</v>
      </c>
      <c r="E989" s="1" t="s">
        <v>50</v>
      </c>
      <c r="F989" s="1" t="s">
        <v>59</v>
      </c>
      <c r="G989" s="6">
        <v>43042</v>
      </c>
      <c r="H989" s="1">
        <v>2023</v>
      </c>
      <c r="I989" t="s">
        <v>55</v>
      </c>
      <c r="J989" s="1">
        <v>178</v>
      </c>
      <c r="K989" s="1" t="s">
        <v>28</v>
      </c>
      <c r="L989" s="1" t="s">
        <v>69</v>
      </c>
      <c r="M989" s="1">
        <v>2.6</v>
      </c>
      <c r="N989" s="1">
        <v>93.37</v>
      </c>
      <c r="O989" s="1">
        <v>76436000</v>
      </c>
      <c r="P989" t="s">
        <v>2281</v>
      </c>
    </row>
    <row r="990" spans="1:16" x14ac:dyDescent="0.3">
      <c r="A990" s="1" t="s">
        <v>2230</v>
      </c>
      <c r="B990" s="1" t="s">
        <v>14</v>
      </c>
      <c r="C990" s="1" t="s">
        <v>2231</v>
      </c>
      <c r="D990" s="1" t="s">
        <v>31</v>
      </c>
      <c r="E990" s="1" t="s">
        <v>309</v>
      </c>
      <c r="F990" s="1" t="s">
        <v>59</v>
      </c>
      <c r="G990" s="6">
        <v>44808</v>
      </c>
      <c r="H990" s="1">
        <v>1994</v>
      </c>
      <c r="I990" t="s">
        <v>19</v>
      </c>
      <c r="J990" s="1">
        <v>10</v>
      </c>
      <c r="K990" s="1" t="s">
        <v>20</v>
      </c>
      <c r="L990" s="1" t="s">
        <v>69</v>
      </c>
      <c r="M990" s="1">
        <v>2.4</v>
      </c>
      <c r="N990" s="1">
        <v>11.19</v>
      </c>
      <c r="O990" s="1">
        <v>40345000</v>
      </c>
      <c r="P990" t="s">
        <v>2282</v>
      </c>
    </row>
    <row r="991" spans="1:16" x14ac:dyDescent="0.3">
      <c r="A991" s="1" t="s">
        <v>2232</v>
      </c>
      <c r="B991" s="1" t="s">
        <v>14</v>
      </c>
      <c r="C991" s="1" t="s">
        <v>2233</v>
      </c>
      <c r="D991" s="1" t="s">
        <v>16</v>
      </c>
      <c r="E991" s="1" t="s">
        <v>40</v>
      </c>
      <c r="F991" s="1" t="s">
        <v>45</v>
      </c>
      <c r="G991" s="6">
        <v>43188</v>
      </c>
      <c r="H991" s="1">
        <v>1990</v>
      </c>
      <c r="I991" t="s">
        <v>55</v>
      </c>
      <c r="J991" s="1">
        <v>7</v>
      </c>
      <c r="K991" s="1" t="s">
        <v>20</v>
      </c>
      <c r="L991" s="1" t="s">
        <v>52</v>
      </c>
      <c r="M991" s="1">
        <v>8.6999999999999993</v>
      </c>
      <c r="N991" s="1">
        <v>93.88</v>
      </c>
      <c r="O991" s="1">
        <v>62813000</v>
      </c>
      <c r="P991" t="s">
        <v>2282</v>
      </c>
    </row>
    <row r="992" spans="1:16" x14ac:dyDescent="0.3">
      <c r="A992" s="1" t="s">
        <v>2234</v>
      </c>
      <c r="B992" s="1" t="s">
        <v>14</v>
      </c>
      <c r="C992" s="1" t="s">
        <v>2235</v>
      </c>
      <c r="D992" s="1" t="s">
        <v>39</v>
      </c>
      <c r="E992" s="1" t="s">
        <v>2236</v>
      </c>
      <c r="F992" s="1" t="s">
        <v>59</v>
      </c>
      <c r="G992" s="6">
        <v>44381</v>
      </c>
      <c r="H992" s="1">
        <v>2009</v>
      </c>
      <c r="I992" t="s">
        <v>19</v>
      </c>
      <c r="J992" s="1">
        <v>1</v>
      </c>
      <c r="K992" s="1" t="s">
        <v>20</v>
      </c>
      <c r="L992" s="1" t="s">
        <v>21</v>
      </c>
      <c r="M992" s="1">
        <v>2.8</v>
      </c>
      <c r="N992" s="1">
        <v>21.08</v>
      </c>
      <c r="O992" s="1">
        <v>76107000</v>
      </c>
      <c r="P992" t="s">
        <v>2281</v>
      </c>
    </row>
    <row r="993" spans="1:16" hidden="1" x14ac:dyDescent="0.3">
      <c r="A993" s="1" t="s">
        <v>2237</v>
      </c>
      <c r="B993" s="1" t="s">
        <v>37</v>
      </c>
      <c r="C993" s="1" t="s">
        <v>2238</v>
      </c>
      <c r="D993" s="1" t="s">
        <v>49</v>
      </c>
      <c r="E993" s="1" t="s">
        <v>1706</v>
      </c>
      <c r="F993" s="1" t="s">
        <v>51</v>
      </c>
      <c r="G993" s="6">
        <v>44589</v>
      </c>
      <c r="H993" s="1">
        <v>2018</v>
      </c>
      <c r="I993" t="s">
        <v>27</v>
      </c>
      <c r="J993" s="1">
        <v>167</v>
      </c>
      <c r="K993" s="1" t="s">
        <v>28</v>
      </c>
      <c r="L993" s="1" t="s">
        <v>35</v>
      </c>
      <c r="M993" s="1">
        <v>6.9</v>
      </c>
      <c r="N993" s="1">
        <v>50.24</v>
      </c>
      <c r="O993" s="1">
        <v>82453000</v>
      </c>
      <c r="P993" t="s">
        <v>2281</v>
      </c>
    </row>
    <row r="994" spans="1:16" hidden="1" x14ac:dyDescent="0.3">
      <c r="A994" s="1" t="s">
        <v>2239</v>
      </c>
      <c r="B994" s="1" t="s">
        <v>37</v>
      </c>
      <c r="C994" s="1" t="s">
        <v>2240</v>
      </c>
      <c r="D994" s="1" t="s">
        <v>49</v>
      </c>
      <c r="E994" s="1" t="s">
        <v>72</v>
      </c>
      <c r="F994" s="1" t="s">
        <v>45</v>
      </c>
      <c r="G994" s="6">
        <v>42284</v>
      </c>
      <c r="H994" s="1">
        <v>2009</v>
      </c>
      <c r="I994" t="s">
        <v>77</v>
      </c>
      <c r="J994" s="1">
        <v>81</v>
      </c>
      <c r="K994" s="1" t="s">
        <v>28</v>
      </c>
      <c r="L994" s="1" t="s">
        <v>69</v>
      </c>
      <c r="M994" s="1">
        <v>7.1</v>
      </c>
      <c r="N994" s="1">
        <v>83.69</v>
      </c>
      <c r="O994" s="1">
        <v>47997000</v>
      </c>
      <c r="P994" t="s">
        <v>2281</v>
      </c>
    </row>
    <row r="995" spans="1:16" x14ac:dyDescent="0.3">
      <c r="A995" s="1" t="s">
        <v>2241</v>
      </c>
      <c r="B995" s="1" t="s">
        <v>14</v>
      </c>
      <c r="C995" s="1" t="s">
        <v>2242</v>
      </c>
      <c r="D995" s="1" t="s">
        <v>24</v>
      </c>
      <c r="E995" s="1" t="s">
        <v>652</v>
      </c>
      <c r="F995" s="1" t="s">
        <v>45</v>
      </c>
      <c r="G995" s="6">
        <v>42806</v>
      </c>
      <c r="H995" s="1">
        <v>1993</v>
      </c>
      <c r="I995" t="s">
        <v>27</v>
      </c>
      <c r="J995" s="1">
        <v>7</v>
      </c>
      <c r="K995" s="1" t="s">
        <v>20</v>
      </c>
      <c r="L995" s="1" t="s">
        <v>41</v>
      </c>
      <c r="M995" s="1">
        <v>9.4</v>
      </c>
      <c r="N995" s="1">
        <v>133.36000000000001</v>
      </c>
      <c r="O995" s="1">
        <v>42997000</v>
      </c>
      <c r="P995" t="s">
        <v>2282</v>
      </c>
    </row>
    <row r="996" spans="1:16" x14ac:dyDescent="0.3">
      <c r="A996" s="1" t="s">
        <v>2243</v>
      </c>
      <c r="B996" s="1" t="s">
        <v>14</v>
      </c>
      <c r="C996" s="1" t="s">
        <v>2244</v>
      </c>
      <c r="D996" s="1" t="s">
        <v>62</v>
      </c>
      <c r="E996" s="1" t="s">
        <v>347</v>
      </c>
      <c r="F996" s="1" t="s">
        <v>51</v>
      </c>
      <c r="G996" s="6">
        <v>43279</v>
      </c>
      <c r="H996" s="1">
        <v>2020</v>
      </c>
      <c r="I996" t="s">
        <v>19</v>
      </c>
      <c r="J996" s="1">
        <v>10</v>
      </c>
      <c r="K996" s="1" t="s">
        <v>20</v>
      </c>
      <c r="L996" s="1" t="s">
        <v>41</v>
      </c>
      <c r="M996" s="1">
        <v>7.3</v>
      </c>
      <c r="N996" s="1">
        <v>108.03</v>
      </c>
      <c r="O996" s="1">
        <v>39260000</v>
      </c>
      <c r="P996" t="s">
        <v>2282</v>
      </c>
    </row>
    <row r="997" spans="1:16" x14ac:dyDescent="0.3">
      <c r="A997" s="1" t="s">
        <v>2245</v>
      </c>
      <c r="B997" s="1" t="s">
        <v>14</v>
      </c>
      <c r="C997" s="1" t="s">
        <v>2246</v>
      </c>
      <c r="D997" s="1" t="s">
        <v>62</v>
      </c>
      <c r="E997" s="1" t="s">
        <v>72</v>
      </c>
      <c r="F997" s="1" t="s">
        <v>45</v>
      </c>
      <c r="G997" s="6">
        <v>43102</v>
      </c>
      <c r="H997" s="1">
        <v>2016</v>
      </c>
      <c r="I997" t="s">
        <v>27</v>
      </c>
      <c r="J997" s="1">
        <v>7</v>
      </c>
      <c r="K997" s="1" t="s">
        <v>20</v>
      </c>
      <c r="L997" s="1" t="s">
        <v>52</v>
      </c>
      <c r="M997" s="1">
        <v>8.1</v>
      </c>
      <c r="N997" s="1">
        <v>103.39</v>
      </c>
      <c r="O997" s="1">
        <v>87178000</v>
      </c>
      <c r="P997" t="s">
        <v>2281</v>
      </c>
    </row>
    <row r="998" spans="1:16" hidden="1" x14ac:dyDescent="0.3">
      <c r="A998" s="1" t="s">
        <v>2247</v>
      </c>
      <c r="B998" s="1" t="s">
        <v>37</v>
      </c>
      <c r="C998" s="1" t="s">
        <v>2248</v>
      </c>
      <c r="D998" s="1" t="s">
        <v>72</v>
      </c>
      <c r="E998" s="1" t="s">
        <v>207</v>
      </c>
      <c r="F998" s="1" t="s">
        <v>158</v>
      </c>
      <c r="G998" s="6">
        <v>42930</v>
      </c>
      <c r="H998" s="1">
        <v>2020</v>
      </c>
      <c r="I998" t="s">
        <v>89</v>
      </c>
      <c r="J998" s="1">
        <v>125</v>
      </c>
      <c r="K998" s="1" t="s">
        <v>28</v>
      </c>
      <c r="L998" s="1" t="s">
        <v>41</v>
      </c>
      <c r="M998" s="1">
        <v>6.5</v>
      </c>
      <c r="N998" s="1">
        <v>128.29</v>
      </c>
      <c r="O998" s="1">
        <v>98933000</v>
      </c>
      <c r="P998" t="s">
        <v>2282</v>
      </c>
    </row>
    <row r="999" spans="1:16" hidden="1" x14ac:dyDescent="0.3">
      <c r="A999" s="1" t="s">
        <v>2249</v>
      </c>
      <c r="B999" s="1" t="s">
        <v>37</v>
      </c>
      <c r="C999" s="1" t="s">
        <v>2250</v>
      </c>
      <c r="D999" s="1" t="s">
        <v>72</v>
      </c>
      <c r="E999" s="1" t="s">
        <v>1193</v>
      </c>
      <c r="F999" s="1" t="s">
        <v>51</v>
      </c>
      <c r="G999" s="6">
        <v>42132</v>
      </c>
      <c r="H999" s="1">
        <v>2023</v>
      </c>
      <c r="I999" t="s">
        <v>77</v>
      </c>
      <c r="J999" s="1">
        <v>123</v>
      </c>
      <c r="K999" s="1" t="s">
        <v>28</v>
      </c>
      <c r="L999" s="1" t="s">
        <v>46</v>
      </c>
      <c r="M999" s="1">
        <v>5.3</v>
      </c>
      <c r="N999" s="1">
        <v>100.82</v>
      </c>
      <c r="O999" s="1">
        <v>90764000</v>
      </c>
      <c r="P999" t="s">
        <v>2282</v>
      </c>
    </row>
    <row r="1000" spans="1:16" x14ac:dyDescent="0.3">
      <c r="A1000" s="1" t="s">
        <v>2251</v>
      </c>
      <c r="B1000" s="1" t="s">
        <v>14</v>
      </c>
      <c r="C1000" s="1" t="s">
        <v>2252</v>
      </c>
      <c r="D1000" s="1" t="s">
        <v>16</v>
      </c>
      <c r="E1000" s="1" t="s">
        <v>386</v>
      </c>
      <c r="F1000" s="1" t="s">
        <v>158</v>
      </c>
      <c r="G1000" s="6">
        <v>43207</v>
      </c>
      <c r="H1000" s="1">
        <v>2018</v>
      </c>
      <c r="I1000" t="s">
        <v>89</v>
      </c>
      <c r="J1000" s="1">
        <v>1</v>
      </c>
      <c r="K1000" s="1" t="s">
        <v>20</v>
      </c>
      <c r="L1000" s="1" t="s">
        <v>46</v>
      </c>
      <c r="M1000" s="1">
        <v>4.0999999999999996</v>
      </c>
      <c r="N1000" s="1">
        <v>70.73</v>
      </c>
      <c r="O1000" s="1">
        <v>31152000</v>
      </c>
      <c r="P1000" t="s">
        <v>2281</v>
      </c>
    </row>
    <row r="1001" spans="1:16" hidden="1" x14ac:dyDescent="0.3">
      <c r="A1001" s="1" t="s">
        <v>2253</v>
      </c>
      <c r="B1001" s="1" t="s">
        <v>37</v>
      </c>
      <c r="C1001" s="1" t="s">
        <v>2254</v>
      </c>
      <c r="D1001" s="1" t="s">
        <v>39</v>
      </c>
      <c r="E1001" s="1" t="s">
        <v>1075</v>
      </c>
      <c r="F1001" s="1" t="s">
        <v>59</v>
      </c>
      <c r="G1001" s="6">
        <v>44036</v>
      </c>
      <c r="H1001" s="1">
        <v>2014</v>
      </c>
      <c r="I1001" t="s">
        <v>89</v>
      </c>
      <c r="J1001" s="1">
        <v>116</v>
      </c>
      <c r="K1001" s="1" t="s">
        <v>28</v>
      </c>
      <c r="L1001" s="1" t="s">
        <v>52</v>
      </c>
      <c r="M1001" s="1">
        <v>6.6</v>
      </c>
      <c r="N1001" s="1">
        <v>114.73</v>
      </c>
      <c r="O1001" s="1">
        <v>4242000</v>
      </c>
      <c r="P1001" t="s">
        <v>2282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13519-243D-4145-BEC3-B46B69A827E9}">
  <sheetPr>
    <tabColor theme="5" tint="0.39997558519241921"/>
  </sheetPr>
  <dimension ref="A1:AN23"/>
  <sheetViews>
    <sheetView workbookViewId="0">
      <selection activeCell="J9" sqref="J9"/>
    </sheetView>
  </sheetViews>
  <sheetFormatPr defaultRowHeight="14.4" x14ac:dyDescent="0.3"/>
  <cols>
    <col min="1" max="1" width="14.5546875" bestFit="1" customWidth="1"/>
    <col min="2" max="2" width="14.88671875" bestFit="1" customWidth="1"/>
    <col min="4" max="4" width="10.6640625" bestFit="1" customWidth="1"/>
    <col min="7" max="7" width="10.5546875" bestFit="1" customWidth="1"/>
    <col min="11" max="11" width="19.109375" bestFit="1" customWidth="1"/>
    <col min="12" max="12" width="15.21875" bestFit="1" customWidth="1"/>
    <col min="13" max="15" width="9" customWidth="1"/>
    <col min="17" max="17" width="12.88671875" bestFit="1" customWidth="1"/>
    <col min="18" max="18" width="23.88671875" bestFit="1" customWidth="1"/>
    <col min="24" max="24" width="29.5546875" bestFit="1" customWidth="1"/>
    <col min="25" max="25" width="18.33203125" bestFit="1" customWidth="1"/>
    <col min="26" max="26" width="17.77734375" bestFit="1" customWidth="1"/>
    <col min="27" max="27" width="10.77734375" bestFit="1" customWidth="1"/>
    <col min="28" max="28" width="14.33203125" bestFit="1" customWidth="1"/>
    <col min="30" max="30" width="15.109375" bestFit="1" customWidth="1"/>
    <col min="31" max="31" width="16.77734375" bestFit="1" customWidth="1"/>
    <col min="32" max="32" width="15.21875" bestFit="1" customWidth="1"/>
    <col min="34" max="34" width="10.77734375" bestFit="1" customWidth="1"/>
    <col min="35" max="36" width="23.33203125" bestFit="1" customWidth="1"/>
    <col min="38" max="38" width="10.77734375" bestFit="1" customWidth="1"/>
    <col min="39" max="39" width="11.6640625" bestFit="1" customWidth="1"/>
    <col min="40" max="40" width="22.6640625" bestFit="1" customWidth="1"/>
    <col min="41" max="41" width="12" bestFit="1" customWidth="1"/>
  </cols>
  <sheetData>
    <row r="1" spans="1:40" x14ac:dyDescent="0.3">
      <c r="D1" t="s">
        <v>2290</v>
      </c>
    </row>
    <row r="2" spans="1:40" x14ac:dyDescent="0.3">
      <c r="D2" t="s">
        <v>2291</v>
      </c>
    </row>
    <row r="3" spans="1:40" x14ac:dyDescent="0.3">
      <c r="D3" t="s">
        <v>2292</v>
      </c>
    </row>
    <row r="4" spans="1:40" x14ac:dyDescent="0.3">
      <c r="D4" t="s">
        <v>2293</v>
      </c>
    </row>
    <row r="5" spans="1:40" x14ac:dyDescent="0.3">
      <c r="D5" t="s">
        <v>2294</v>
      </c>
    </row>
    <row r="6" spans="1:40" x14ac:dyDescent="0.3">
      <c r="D6" t="s">
        <v>2295</v>
      </c>
    </row>
    <row r="13" spans="1:40" x14ac:dyDescent="0.3">
      <c r="A13" s="3" t="s">
        <v>2287</v>
      </c>
      <c r="B13" t="s">
        <v>2286</v>
      </c>
      <c r="D13" t="s">
        <v>2288</v>
      </c>
      <c r="G13" s="9" t="s">
        <v>2289</v>
      </c>
      <c r="K13" s="3" t="s">
        <v>2257</v>
      </c>
      <c r="L13" t="s">
        <v>2256</v>
      </c>
      <c r="Q13" s="3" t="s">
        <v>2269</v>
      </c>
      <c r="R13" t="s">
        <v>2268</v>
      </c>
      <c r="X13" s="3" t="s">
        <v>9</v>
      </c>
      <c r="Y13" t="s">
        <v>2270</v>
      </c>
      <c r="AA13" s="3" t="s">
        <v>2276</v>
      </c>
      <c r="AB13" t="s">
        <v>2271</v>
      </c>
      <c r="AE13" s="3" t="s">
        <v>2278</v>
      </c>
      <c r="AF13" t="s">
        <v>2279</v>
      </c>
      <c r="AI13" t="s">
        <v>2277</v>
      </c>
      <c r="AM13" s="3" t="s">
        <v>2285</v>
      </c>
      <c r="AN13" t="s">
        <v>2284</v>
      </c>
    </row>
    <row r="14" spans="1:40" x14ac:dyDescent="0.3">
      <c r="A14" s="4" t="s">
        <v>37</v>
      </c>
      <c r="B14" s="5">
        <v>0.57899999999999996</v>
      </c>
      <c r="D14" s="8">
        <v>51745858</v>
      </c>
      <c r="G14" s="10">
        <v>75339.180000000022</v>
      </c>
      <c r="K14" s="4" t="s">
        <v>33</v>
      </c>
      <c r="L14">
        <v>115</v>
      </c>
      <c r="Q14" s="4" t="s">
        <v>2258</v>
      </c>
      <c r="R14">
        <v>99</v>
      </c>
      <c r="X14" s="4" t="s">
        <v>21</v>
      </c>
      <c r="Y14" s="12">
        <v>14023.069999999996</v>
      </c>
      <c r="AA14" s="4" t="s">
        <v>2272</v>
      </c>
      <c r="AB14">
        <v>294</v>
      </c>
      <c r="AE14" s="4" t="s">
        <v>34</v>
      </c>
      <c r="AF14">
        <v>162</v>
      </c>
      <c r="AI14">
        <v>75.339180000000027</v>
      </c>
      <c r="AM14" s="4" t="s">
        <v>2281</v>
      </c>
      <c r="AN14" s="5">
        <v>0.52400000000000002</v>
      </c>
    </row>
    <row r="15" spans="1:40" x14ac:dyDescent="0.3">
      <c r="A15" s="4" t="s">
        <v>14</v>
      </c>
      <c r="B15" s="5">
        <v>0.42099999999999999</v>
      </c>
      <c r="D15" s="8">
        <f>GETPIVOTDATA("Budget_Usd",$D$13)</f>
        <v>51745858</v>
      </c>
      <c r="G15" s="10">
        <f>GETPIVOTDATA("Views_Millions",$G$13)</f>
        <v>75339.180000000022</v>
      </c>
      <c r="K15" s="4" t="s">
        <v>59</v>
      </c>
      <c r="L15">
        <v>121</v>
      </c>
      <c r="Q15" s="4" t="s">
        <v>2259</v>
      </c>
      <c r="R15">
        <v>112</v>
      </c>
      <c r="X15" s="4" t="s">
        <v>46</v>
      </c>
      <c r="Y15" s="12">
        <v>12936.209999999994</v>
      </c>
      <c r="AA15" s="4" t="s">
        <v>2273</v>
      </c>
      <c r="AB15">
        <v>322</v>
      </c>
      <c r="AE15" s="4" t="s">
        <v>55</v>
      </c>
      <c r="AF15">
        <v>165</v>
      </c>
      <c r="AM15" s="4" t="s">
        <v>2282</v>
      </c>
      <c r="AN15" s="5">
        <v>0.47599999999999998</v>
      </c>
    </row>
    <row r="16" spans="1:40" x14ac:dyDescent="0.3">
      <c r="A16" s="4" t="s">
        <v>2255</v>
      </c>
      <c r="B16" s="5">
        <v>1</v>
      </c>
      <c r="K16" s="4" t="s">
        <v>51</v>
      </c>
      <c r="L16">
        <v>126</v>
      </c>
      <c r="Q16" s="4" t="s">
        <v>2260</v>
      </c>
      <c r="R16">
        <v>119</v>
      </c>
      <c r="X16" s="4" t="s">
        <v>35</v>
      </c>
      <c r="Y16" s="12">
        <v>12881.409999999994</v>
      </c>
      <c r="AA16" s="4" t="s">
        <v>2274</v>
      </c>
      <c r="AB16">
        <v>266</v>
      </c>
      <c r="AE16" s="4" t="s">
        <v>19</v>
      </c>
      <c r="AF16">
        <v>164</v>
      </c>
      <c r="AM16" s="4" t="s">
        <v>2255</v>
      </c>
      <c r="AN16" s="5">
        <v>1</v>
      </c>
    </row>
    <row r="17" spans="2:40" x14ac:dyDescent="0.3">
      <c r="B17" s="7">
        <f>GETPIVOTDATA("Duration_Type",$A$13,"Type","Movie")</f>
        <v>0.57899999999999996</v>
      </c>
      <c r="K17" s="4" t="s">
        <v>76</v>
      </c>
      <c r="L17">
        <v>131</v>
      </c>
      <c r="Q17" s="4" t="s">
        <v>2261</v>
      </c>
      <c r="R17">
        <v>112</v>
      </c>
      <c r="X17" s="4" t="s">
        <v>69</v>
      </c>
      <c r="Y17" s="12">
        <v>12474.890000000005</v>
      </c>
      <c r="AA17" s="4" t="s">
        <v>2275</v>
      </c>
      <c r="AB17">
        <v>118</v>
      </c>
      <c r="AE17" s="4" t="s">
        <v>77</v>
      </c>
      <c r="AF17">
        <v>187</v>
      </c>
      <c r="AM17" s="7"/>
      <c r="AN17" s="7">
        <f>GETPIVOTDATA("Category_Of_Ownership",$AM$13,"Category_Of_Ownership","Licensed")</f>
        <v>0.52400000000000002</v>
      </c>
    </row>
    <row r="18" spans="2:40" x14ac:dyDescent="0.3">
      <c r="B18" s="7">
        <f>GETPIVOTDATA("Duration_Type",$A$13,"Type","Tv Show")</f>
        <v>0.42099999999999999</v>
      </c>
      <c r="K18" s="4" t="s">
        <v>18</v>
      </c>
      <c r="L18">
        <v>129</v>
      </c>
      <c r="Q18" s="4" t="s">
        <v>2262</v>
      </c>
      <c r="R18">
        <v>104</v>
      </c>
      <c r="X18" s="4" t="s">
        <v>41</v>
      </c>
      <c r="Y18" s="12">
        <v>12096.750000000004</v>
      </c>
      <c r="AA18" s="4" t="s">
        <v>2255</v>
      </c>
      <c r="AB18">
        <v>1000</v>
      </c>
      <c r="AE18" s="4" t="s">
        <v>89</v>
      </c>
      <c r="AF18">
        <v>171</v>
      </c>
      <c r="AM18" s="7"/>
      <c r="AN18" s="7">
        <f>GETPIVOTDATA("Category_Of_Ownership",$AM$13,"Category_Of_Ownership","Original")</f>
        <v>0.47599999999999998</v>
      </c>
    </row>
    <row r="19" spans="2:40" x14ac:dyDescent="0.3">
      <c r="K19" s="4" t="s">
        <v>26</v>
      </c>
      <c r="L19">
        <v>119</v>
      </c>
      <c r="Q19" s="4" t="s">
        <v>2263</v>
      </c>
      <c r="R19">
        <v>120</v>
      </c>
      <c r="X19" s="4" t="s">
        <v>52</v>
      </c>
      <c r="Y19" s="12">
        <v>10926.850000000002</v>
      </c>
      <c r="AE19" s="4" t="s">
        <v>27</v>
      </c>
      <c r="AF19">
        <v>151</v>
      </c>
      <c r="AM19" s="7"/>
    </row>
    <row r="20" spans="2:40" x14ac:dyDescent="0.3">
      <c r="K20" s="4" t="s">
        <v>45</v>
      </c>
      <c r="L20">
        <v>130</v>
      </c>
      <c r="Q20" s="4" t="s">
        <v>2264</v>
      </c>
      <c r="R20">
        <v>106</v>
      </c>
      <c r="X20" s="4" t="s">
        <v>2255</v>
      </c>
      <c r="Y20" s="12">
        <v>75339.179999999993</v>
      </c>
      <c r="AE20" s="4" t="s">
        <v>2255</v>
      </c>
      <c r="AF20">
        <v>1000</v>
      </c>
    </row>
    <row r="21" spans="2:40" x14ac:dyDescent="0.3">
      <c r="K21" s="4" t="s">
        <v>158</v>
      </c>
      <c r="L21">
        <v>129</v>
      </c>
      <c r="Q21" s="4" t="s">
        <v>2265</v>
      </c>
      <c r="R21">
        <v>120</v>
      </c>
    </row>
    <row r="22" spans="2:40" x14ac:dyDescent="0.3">
      <c r="K22" s="4" t="s">
        <v>2255</v>
      </c>
      <c r="L22">
        <v>1000</v>
      </c>
      <c r="Q22" s="4" t="s">
        <v>2266</v>
      </c>
      <c r="R22">
        <v>108</v>
      </c>
    </row>
    <row r="23" spans="2:40" x14ac:dyDescent="0.3">
      <c r="L23">
        <f>GETPIVOTDATA("Title",$K$13)</f>
        <v>1000</v>
      </c>
      <c r="Q23" s="4" t="s">
        <v>2255</v>
      </c>
      <c r="R23">
        <v>1000</v>
      </c>
    </row>
  </sheetData>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 xmlns:x15="http://schemas.microsoft.com/office/spreadsheetml/2010/11/main" uri="{7E03D99C-DC04-49d9-9315-930204A7B6E9}">
      <x15:timelineRefs>
        <x15:timelineRef r:id="rId1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E767B-4F90-4A64-A2AC-EDDD8697E40F}">
  <sheetPr>
    <tabColor rgb="FFC00000"/>
  </sheetPr>
  <dimension ref="A1:Z38"/>
  <sheetViews>
    <sheetView tabSelected="1" zoomScale="89" zoomScaleNormal="75" workbookViewId="0">
      <selection activeCell="F11" sqref="F11"/>
    </sheetView>
  </sheetViews>
  <sheetFormatPr defaultRowHeight="14.4" x14ac:dyDescent="0.3"/>
  <sheetData>
    <row r="1" spans="1:26" x14ac:dyDescent="0.3">
      <c r="A1" s="13"/>
      <c r="B1" s="13"/>
      <c r="C1" s="13"/>
      <c r="D1" s="13"/>
      <c r="E1" s="13"/>
      <c r="F1" s="13"/>
      <c r="G1" s="13"/>
      <c r="H1" s="13"/>
      <c r="I1" s="13"/>
      <c r="J1" s="13"/>
      <c r="K1" s="13"/>
      <c r="L1" s="13"/>
      <c r="M1" s="13"/>
      <c r="N1" s="13"/>
      <c r="O1" s="13"/>
      <c r="P1" s="13"/>
      <c r="Q1" s="13"/>
      <c r="R1" s="13"/>
      <c r="S1" s="13"/>
      <c r="T1" s="13"/>
      <c r="U1" s="11"/>
      <c r="V1" s="11"/>
      <c r="W1" s="11"/>
      <c r="X1" s="11"/>
      <c r="Y1" s="11"/>
      <c r="Z1" s="11"/>
    </row>
    <row r="2" spans="1:26" x14ac:dyDescent="0.3">
      <c r="A2" s="13"/>
      <c r="B2" s="13"/>
      <c r="C2" s="13"/>
      <c r="D2" s="13"/>
      <c r="E2" s="13"/>
      <c r="F2" s="13"/>
      <c r="G2" s="13"/>
      <c r="H2" s="13"/>
      <c r="I2" s="13"/>
      <c r="J2" s="13"/>
      <c r="K2" s="13"/>
      <c r="L2" s="13"/>
      <c r="M2" s="13"/>
      <c r="N2" s="13"/>
      <c r="O2" s="13"/>
      <c r="P2" s="13"/>
      <c r="Q2" s="13"/>
      <c r="R2" s="13"/>
      <c r="S2" s="13"/>
      <c r="T2" s="13"/>
      <c r="U2" s="11"/>
      <c r="V2" s="11"/>
      <c r="W2" s="11"/>
      <c r="X2" s="11"/>
      <c r="Y2" s="11"/>
      <c r="Z2" s="11"/>
    </row>
    <row r="3" spans="1:26" x14ac:dyDescent="0.3">
      <c r="A3" s="13"/>
      <c r="B3" s="13"/>
      <c r="C3" s="13"/>
      <c r="D3" s="13"/>
      <c r="E3" s="13"/>
      <c r="F3" s="13"/>
      <c r="G3" s="13"/>
      <c r="H3" s="13"/>
      <c r="I3" s="13"/>
      <c r="J3" s="13"/>
      <c r="K3" s="13"/>
      <c r="L3" s="13"/>
      <c r="M3" s="13"/>
      <c r="N3" s="13"/>
      <c r="O3" s="13"/>
      <c r="P3" s="13"/>
      <c r="Q3" s="13"/>
      <c r="R3" s="13"/>
      <c r="S3" s="13"/>
      <c r="T3" s="13"/>
      <c r="U3" s="11"/>
      <c r="V3" s="11"/>
      <c r="W3" s="11"/>
      <c r="X3" s="11"/>
      <c r="Y3" s="11"/>
      <c r="Z3" s="11"/>
    </row>
    <row r="4" spans="1:26" x14ac:dyDescent="0.3">
      <c r="A4" s="13"/>
      <c r="B4" s="13"/>
      <c r="C4" s="13"/>
      <c r="D4" s="13"/>
      <c r="E4" s="13"/>
      <c r="F4" s="13"/>
      <c r="G4" s="13"/>
      <c r="H4" s="13"/>
      <c r="I4" s="13"/>
      <c r="J4" s="13"/>
      <c r="K4" s="13"/>
      <c r="L4" s="13"/>
      <c r="M4" s="13"/>
      <c r="N4" s="13"/>
      <c r="O4" s="13"/>
      <c r="P4" s="13"/>
      <c r="Q4" s="13"/>
      <c r="R4" s="13"/>
      <c r="S4" s="13"/>
      <c r="T4" s="13"/>
      <c r="U4" s="11"/>
      <c r="V4" s="11"/>
      <c r="W4" s="11"/>
      <c r="X4" s="11"/>
      <c r="Y4" s="11"/>
      <c r="Z4" s="11"/>
    </row>
    <row r="5" spans="1:26" x14ac:dyDescent="0.3">
      <c r="A5" s="11"/>
      <c r="B5" s="11"/>
      <c r="C5" s="11"/>
      <c r="D5" s="11"/>
      <c r="E5" s="11"/>
      <c r="F5" s="11"/>
      <c r="G5" s="11"/>
      <c r="H5" s="11"/>
      <c r="I5" s="11"/>
      <c r="J5" s="11"/>
      <c r="K5" s="11"/>
      <c r="L5" s="11"/>
      <c r="M5" s="11"/>
      <c r="N5" s="11"/>
      <c r="O5" s="11"/>
      <c r="P5" s="11"/>
      <c r="Q5" s="11"/>
      <c r="R5" s="11"/>
      <c r="S5" s="11"/>
      <c r="T5" s="11"/>
      <c r="U5" s="11"/>
      <c r="V5" s="11"/>
      <c r="W5" s="11"/>
      <c r="X5" s="11"/>
      <c r="Y5" s="11"/>
      <c r="Z5" s="11"/>
    </row>
    <row r="6" spans="1:26" x14ac:dyDescent="0.3">
      <c r="A6" s="11"/>
      <c r="B6" s="11"/>
      <c r="C6" s="11"/>
      <c r="D6" s="11"/>
      <c r="E6" s="11"/>
      <c r="F6" s="11"/>
      <c r="G6" s="11"/>
      <c r="H6" s="11"/>
      <c r="I6" s="11"/>
      <c r="J6" s="11"/>
      <c r="K6" s="11"/>
      <c r="L6" s="11"/>
      <c r="M6" s="11"/>
      <c r="N6" s="11"/>
      <c r="O6" s="11"/>
      <c r="P6" s="11"/>
      <c r="Q6" s="11"/>
      <c r="R6" s="11"/>
      <c r="S6" s="11"/>
      <c r="T6" s="11"/>
      <c r="U6" s="11"/>
      <c r="V6" s="11"/>
      <c r="W6" s="11"/>
      <c r="X6" s="11"/>
      <c r="Y6" s="11"/>
      <c r="Z6" s="11"/>
    </row>
    <row r="7" spans="1:26" x14ac:dyDescent="0.3">
      <c r="A7" s="11"/>
      <c r="B7" s="11"/>
      <c r="C7" s="11"/>
      <c r="D7" s="11"/>
      <c r="E7" s="11"/>
      <c r="F7" s="11"/>
      <c r="G7" s="11"/>
      <c r="H7" s="11"/>
      <c r="I7" s="11"/>
      <c r="J7" s="11"/>
      <c r="K7" s="11"/>
      <c r="L7" s="11"/>
      <c r="M7" s="11"/>
      <c r="N7" s="11"/>
      <c r="O7" s="11"/>
      <c r="P7" s="11"/>
      <c r="Q7" s="11"/>
      <c r="R7" s="11"/>
      <c r="S7" s="11"/>
      <c r="T7" s="11"/>
      <c r="U7" s="11"/>
      <c r="V7" s="11"/>
      <c r="W7" s="11"/>
      <c r="X7" s="11"/>
      <c r="Y7" s="11"/>
      <c r="Z7" s="11"/>
    </row>
    <row r="8" spans="1:26" x14ac:dyDescent="0.3">
      <c r="A8" s="11"/>
      <c r="B8" s="11"/>
      <c r="C8" s="11"/>
      <c r="D8" s="11"/>
      <c r="E8" s="11"/>
      <c r="F8" s="11"/>
      <c r="G8" s="11"/>
      <c r="H8" s="11"/>
      <c r="I8" s="11"/>
      <c r="J8" s="11"/>
      <c r="K8" s="11"/>
      <c r="L8" s="11"/>
      <c r="M8" s="11"/>
      <c r="N8" s="11"/>
      <c r="O8" s="11"/>
      <c r="P8" s="11"/>
      <c r="Q8" s="11"/>
      <c r="R8" s="11"/>
      <c r="S8" s="11"/>
      <c r="T8" s="11"/>
      <c r="U8" s="11"/>
      <c r="V8" s="11"/>
      <c r="W8" s="11"/>
      <c r="X8" s="11"/>
      <c r="Y8" s="11"/>
      <c r="Z8" s="11"/>
    </row>
    <row r="9" spans="1:26" x14ac:dyDescent="0.3">
      <c r="A9" s="11"/>
      <c r="B9" s="11"/>
      <c r="C9" s="11"/>
      <c r="D9" s="11"/>
      <c r="E9" s="11"/>
      <c r="F9" s="11"/>
      <c r="G9" s="11"/>
      <c r="H9" s="11"/>
      <c r="I9" s="11"/>
      <c r="J9" s="11"/>
      <c r="K9" s="11"/>
      <c r="L9" s="11"/>
      <c r="M9" s="11"/>
      <c r="N9" s="11"/>
      <c r="O9" s="11"/>
      <c r="P9" s="11"/>
      <c r="Q9" s="11"/>
      <c r="R9" s="11"/>
      <c r="S9" s="11"/>
      <c r="T9" s="11"/>
      <c r="U9" s="11"/>
      <c r="V9" s="11"/>
      <c r="W9" s="11"/>
      <c r="X9" s="11"/>
      <c r="Y9" s="11"/>
      <c r="Z9" s="11"/>
    </row>
    <row r="10" spans="1:26" x14ac:dyDescent="0.3">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spans="1:26" x14ac:dyDescent="0.3">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spans="1:26" x14ac:dyDescent="0.3">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spans="1:26" x14ac:dyDescent="0.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spans="1:26" x14ac:dyDescent="0.3">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x14ac:dyDescent="0.3">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x14ac:dyDescent="0.3">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x14ac:dyDescent="0.3">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x14ac:dyDescent="0.3">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x14ac:dyDescent="0.3">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x14ac:dyDescent="0.3">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x14ac:dyDescent="0.3">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x14ac:dyDescent="0.3">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x14ac:dyDescent="0.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x14ac:dyDescent="0.3">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x14ac:dyDescent="0.3">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x14ac:dyDescent="0.3">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x14ac:dyDescent="0.3">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x14ac:dyDescent="0.3">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x14ac:dyDescent="0.3">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x14ac:dyDescent="0.3">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x14ac:dyDescent="0.3">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x14ac:dyDescent="0.3">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x14ac:dyDescent="0.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x14ac:dyDescent="0.3">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x14ac:dyDescent="0.3">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x14ac:dyDescent="0.3">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x14ac:dyDescent="0.3">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x14ac:dyDescent="0.3">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sheetData>
  <mergeCells count="1">
    <mergeCell ref="A1:T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72774CF-346A-4941-B336-C1D293B1789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 Cleaned Data</vt:lpstr>
      <vt:lpstr>Pivot_Table</vt:lpstr>
      <vt:lpstr>Dasboard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Shashank Shukla</dc:creator>
  <cp:lastModifiedBy>Shashank Shukla</cp:lastModifiedBy>
  <dcterms:created xsi:type="dcterms:W3CDTF">2026-08-10T07:45:17Z</dcterms:created>
  <dcterms:modified xsi:type="dcterms:W3CDTF">2026-08-10T17:36:49Z</dcterms:modified>
</cp:coreProperties>
</file>